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047e9606d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одика" sheetId="1" r:id="R386f75d32a6f4a09"/>
    <x:sheet xmlns:r="http://schemas.openxmlformats.org/officeDocument/2006/relationships" name="Оценки_критериев" sheetId="2" r:id="R521a5c8522094b27"/>
    <x:sheet xmlns:r="http://schemas.openxmlformats.org/officeDocument/2006/relationships" name="Оценки_альтернатив" sheetId="3" r:id="R4fcbdd88303e4aff"/>
    <x:sheet xmlns:r="http://schemas.openxmlformats.org/officeDocument/2006/relationships" name="TOPSIS" sheetId="4" r:id="Rc27011095ea341b3"/>
    <x:sheet xmlns:r="http://schemas.openxmlformats.org/officeDocument/2006/relationships" name="МАИ_критерии" sheetId="5" r:id="Rfd238026e5a845b9"/>
    <x:sheet xmlns:r="http://schemas.openxmlformats.org/officeDocument/2006/relationships" name="МАИ_альтернативы" sheetId="6" r:id="R677d33a9ce74424a"/>
    <x:sheet xmlns:r="http://schemas.openxmlformats.org/officeDocument/2006/relationships" name="МАИ_итог" sheetId="7" r:id="Redb62a3cd1764e65"/>
    <x:sheet xmlns:r="http://schemas.openxmlformats.org/officeDocument/2006/relationships" name="RACI_план" sheetId="8" r:id="Rdfa2a78fef9b4254"/>
    <x:sheet xmlns:r="http://schemas.openxmlformats.org/officeDocument/2006/relationships" name="Итог" sheetId="9" r:id="Rf648f27af929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"/>
    <x:numFmt numFmtId="202" formatCode="dd.mm.yyyy"/>
    <x:numFmt numFmtId="203" formatCode="0.0"/>
    <x:numFmt numFmtId="204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4">
    <x:border/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top style="thin">
        <x:color rgb="FF9EADBA"/>
      </x:top>
    </x:border>
    <x:border>
      <x:bottom style="thin">
        <x:color rgb="FF9EADBA"/>
      </x:bottom>
    </x:border>
    <x:border>
      <x:top style="thin">
        <x:color rgb="FF9EADBA"/>
      </x:top>
    </x:border>
    <x:border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16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15" xfId="0" applyNumberFormat="1" applyFont="1" applyFill="1" applyBorder="1"/>
    <x:xf numFmtId="201" fontId="0" fillId="0" borderId="7" xfId="0" applyNumberFormat="1" applyFont="1" applyFill="1" applyBorder="1"/>
    <x:xf numFmtId="201" fontId="0" fillId="0" borderId="1" xfId="0" applyNumberFormat="1" applyFont="1" applyFill="1" applyBorder="1"/>
    <x:xf numFmtId="201" fontId="0" fillId="0" borderId="11" xfId="0" applyNumberFormat="1" applyFont="1" applyFill="1" applyBorder="1"/>
    <x:xf numFmtId="201" fontId="0" fillId="0" borderId="17" xfId="0" applyNumberFormat="1" applyFont="1" applyFill="1" applyBorder="1"/>
    <x:xf numFmtId="201" fontId="0" fillId="0" borderId="13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201" fontId="0" fillId="0" borderId="6" xfId="0" applyNumberFormat="1" applyFont="1" applyFill="1" applyBorder="1"/>
    <x:xf numFmtId="201" fontId="0" fillId="0" borderId="12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15" xfId="0" applyNumberFormat="1" applyFont="1" applyFill="1" applyBorder="1"/>
    <x:xf numFmtId="203" fontId="0" fillId="0" borderId="15" xfId="0" applyNumberFormat="1" applyFont="1" applyFill="1" applyBorder="1"/>
    <x:xf numFmtId="202" fontId="0" fillId="0" borderId="17" xfId="0" applyNumberFormat="1" applyFont="1" applyFill="1" applyBorder="1"/>
    <x:xf numFmtId="203" fontId="0" fillId="0" borderId="17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/>
    <x:xf numFmtId="0" fontId="2" fillId="0" borderId="10" xfId="0" applyNumberFormat="1" applyFont="1" applyFill="1" applyBorder="1"/>
    <x:xf numFmtId="0" fontId="2" fillId="0" borderId="1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1" xfId="0" applyNumberFormat="1" applyFont="1" applyFill="1" applyBorder="1"/>
    <x:xf numFmtId="0" fontId="0" fillId="5" borderId="13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5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4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3bf26c46644e9" /><Relationship Type="http://schemas.openxmlformats.org/officeDocument/2006/relationships/theme" Target="/xl/theme/theme1.xml" Id="R0d27a700d6c54ebf" /><Relationship Type="http://schemas.openxmlformats.org/officeDocument/2006/relationships/sharedStrings" Target="/xl/sharedStrings.xml" Id="Rf993f14bebed43c3" /><Relationship Type="http://schemas.openxmlformats.org/officeDocument/2006/relationships/worksheet" Target="/xl/worksheets/sheet1.xml" Id="R386f75d32a6f4a09" /><Relationship Type="http://schemas.openxmlformats.org/officeDocument/2006/relationships/worksheet" Target="/xl/worksheets/sheet2.xml" Id="R521a5c8522094b27" /><Relationship Type="http://schemas.openxmlformats.org/officeDocument/2006/relationships/worksheet" Target="/xl/worksheets/sheet3.xml" Id="R4fcbdd88303e4aff" /><Relationship Type="http://schemas.openxmlformats.org/officeDocument/2006/relationships/worksheet" Target="/xl/worksheets/sheet4.xml" Id="Rc27011095ea341b3" /><Relationship Type="http://schemas.openxmlformats.org/officeDocument/2006/relationships/worksheet" Target="/xl/worksheets/sheet5.xml" Id="Rfd238026e5a845b9" /><Relationship Type="http://schemas.openxmlformats.org/officeDocument/2006/relationships/worksheet" Target="/xl/worksheets/sheet6.xml" Id="R677d33a9ce74424a" /><Relationship Type="http://schemas.openxmlformats.org/officeDocument/2006/relationships/worksheet" Target="/xl/worksheets/sheet7.xml" Id="Redb62a3cd1764e65" /><Relationship Type="http://schemas.openxmlformats.org/officeDocument/2006/relationships/worksheet" Target="/xl/worksheets/sheet8.xml" Id="Rdfa2a78fef9b4254" /><Relationship Type="http://schemas.openxmlformats.org/officeDocument/2006/relationships/worksheet" Target="/xl/worksheets/sheet9.xml" Id="Rf648f27af92942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dc3131fba846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TOPSIS: коэффициент близости, %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TOPSIS, %</c:v>
          </c:tx>
          <c:cat>
            <c:strRef>
              <c:f>'Итог'!$H$19:$H$22</c:f>
              <c:strCache>
                <c:ptCount val="0"/>
              </c:strCache>
            </c:strRef>
          </c:cat>
          <c:val>
            <c:numRef>
              <c:f>'Итог'!$I$19:$I$22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dc3131fba846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20eb95f6ef1c46c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9" t="str">
        <x:v>Фаза 1 — Выбор концепции программного проекта</x:v>
      </x:c>
      <x:c r="B1" s="59"/>
      <x:c r="C1" s="59"/>
      <x:c r="D1" s="59"/>
      <x:c r="E1" s="59"/>
      <x:c r="F1" s="59"/>
      <x:c r="G1" s="59"/>
      <x:c r="H1" s="59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6" t="str">
        <x:v>Команда</x:v>
      </x:c>
      <x:c r="B3" s="61" t="str">
        <x:v>Владислав, Виталий, Елена, Антон</x:v>
      </x:c>
      <x:c r="C3" s="60"/>
      <x:c r="D3" s="60"/>
      <x:c r="E3" s="60"/>
      <x:c r="F3" s="60"/>
      <x:c r="G3" s="60"/>
      <x:c r="H3" s="60"/>
    </x:row>
    <x:row r="4">
      <x:c r="A4" s="18" t="str">
        <x:v>Период</x:v>
      </x:c>
      <x:c r="B4" s="62" t="str">
        <x:v>01.10.2026–06.10.2026</x:v>
      </x:c>
      <x:c r="C4" s="60"/>
      <x:c r="D4" s="60"/>
      <x:c r="E4" s="60"/>
      <x:c r="F4" s="60"/>
      <x:c r="G4" s="60"/>
      <x:c r="H4" s="60"/>
    </x:row>
    <x:row r="5">
      <x:c r="A5" s="18" t="str">
        <x:v>Количество альтернатив</x:v>
      </x:c>
      <x:c r="B5" s="62" t="n">
        <x:v>4</x:v>
      </x:c>
      <x:c r="C5" s="60"/>
      <x:c r="D5" s="60"/>
      <x:c r="E5" s="60"/>
      <x:c r="F5" s="60"/>
      <x:c r="G5" s="60"/>
      <x:c r="H5" s="60"/>
    </x:row>
    <x:row r="6">
      <x:c r="A6" s="18" t="str">
        <x:v>Количество критериев</x:v>
      </x:c>
      <x:c r="B6" s="62" t="n">
        <x:v>6</x:v>
      </x:c>
      <x:c r="C6" s="60"/>
      <x:c r="D6" s="60"/>
      <x:c r="E6" s="60"/>
      <x:c r="F6" s="60"/>
      <x:c r="G6" s="60"/>
      <x:c r="H6" s="60"/>
    </x:row>
    <x:row r="7">
      <x:c r="A7" s="20" t="str">
        <x:v>Методы выбора</x:v>
      </x:c>
      <x:c r="B7" s="63" t="str">
        <x:v>Нечёткий коллективный TOPSIS + чёткий коллективный МАИ</x:v>
      </x:c>
      <x:c r="C7" s="60"/>
      <x:c r="D7" s="60"/>
      <x:c r="E7" s="60"/>
      <x:c r="F7" s="60"/>
      <x:c r="G7" s="60"/>
      <x:c r="H7" s="60"/>
    </x:row>
    <x:row r="8">
      <x:c r="A8" s="60"/>
      <x:c r="B8" s="60"/>
      <x:c r="C8" s="60"/>
      <x:c r="D8" s="60"/>
      <x:c r="E8" s="60"/>
      <x:c r="F8" s="60"/>
      <x:c r="G8" s="60"/>
      <x:c r="H8" s="60"/>
    </x:row>
    <x:row r="9">
      <x:c r="A9" s="38" t="str">
        <x:v>Код</x:v>
      </x:c>
      <x:c r="B9" s="39" t="str">
        <x:v>Альтернатива</x:v>
      </x:c>
      <x:c r="C9" s="39" t="str">
        <x:v>Краткое содержание</x:v>
      </x:c>
      <x:c r="D9" s="40" t="str">
        <x:v>Статус</x:v>
      </x:c>
      <x:c r="E9" s="60"/>
      <x:c r="F9" s="60"/>
      <x:c r="G9" s="60"/>
      <x:c r="H9" s="60"/>
    </x:row>
    <x:row r="10">
      <x:c r="A10" s="64" t="str">
        <x:v>A1</x:v>
      </x:c>
      <x:c r="B10" s="60" t="str">
        <x:v>Система аренды автомобилей</x:v>
      </x:c>
      <x:c r="C10" s="60" t="str">
        <x:v>Каталог авто, доступность, бронирование, договор, выдача/возврат, оплата, штрафы, обслуживание парка, отчётность</x:v>
      </x:c>
      <x:c r="D10" s="62" t="str">
        <x:v>Кандидат</x:v>
      </x:c>
      <x:c r="E10" s="60"/>
      <x:c r="F10" s="60"/>
      <x:c r="G10" s="60"/>
      <x:c r="H10" s="60"/>
    </x:row>
    <x:row r="11">
      <x:c r="A11" s="64" t="str">
        <x:v>A2</x:v>
      </x:c>
      <x:c r="B11" s="60" t="str">
        <x:v>Информационная система автосервиса</x:v>
      </x:c>
      <x:c r="C11" s="60" t="str">
        <x:v>Клиенты, автомобили, запись, заказ-наряды, мастера, работы, запчасти, склад, расчёт стоимости, отчёты</x:v>
      </x:c>
      <x:c r="D11" s="62" t="str">
        <x:v>Кандидат</x:v>
      </x:c>
      <x:c r="E11" s="60"/>
      <x:c r="F11" s="60"/>
      <x:c r="G11" s="60"/>
      <x:c r="H11" s="60"/>
    </x:row>
    <x:row r="12">
      <x:c r="A12" s="64" t="str">
        <x:v>A3</x:v>
      </x:c>
      <x:c r="B12" s="60" t="str">
        <x:v>Система учёта и анализа личных финансов</x:v>
      </x:c>
      <x:c r="C12" s="60" t="str">
        <x:v>Доходы, расходы, категории, бюджеты, цели, аналитика, отчёты, напоминания, импорт операций</x:v>
      </x:c>
      <x:c r="D12" s="62" t="str">
        <x:v>Кандидат</x:v>
      </x:c>
      <x:c r="E12" s="60"/>
      <x:c r="F12" s="60"/>
      <x:c r="G12" s="60"/>
      <x:c r="H12" s="60"/>
    </x:row>
    <x:row r="13">
      <x:c r="A13" s="65" t="str">
        <x:v>A4</x:v>
      </x:c>
      <x:c r="B13" s="66" t="str">
        <x:v>Система управления фитнес-клубом</x:v>
      </x:c>
      <x:c r="C13" s="66" t="str">
        <x:v>Клиенты, абонементы, тренеры, расписание, запись, посещения, платежи, отчётность</x:v>
      </x:c>
      <x:c r="D13" s="63" t="str">
        <x:v>Кандидат</x:v>
      </x:c>
      <x:c r="E13" s="60"/>
      <x:c r="F13" s="60"/>
      <x:c r="G13" s="60"/>
      <x:c r="H13" s="60"/>
    </x:row>
    <x:row r="14">
      <x:c r="A14" s="60"/>
      <x:c r="B14" s="60"/>
      <x:c r="C14" s="60"/>
      <x:c r="D14" s="60"/>
      <x:c r="E14" s="60"/>
      <x:c r="F14" s="60"/>
      <x:c r="G14" s="60"/>
      <x:c r="H14" s="60"/>
    </x:row>
    <x:row r="15">
      <x:c r="A15" s="38" t="str">
        <x:v>Код</x:v>
      </x:c>
      <x:c r="B15" s="39" t="str">
        <x:v>Критерий</x:v>
      </x:c>
      <x:c r="C15" s="39" t="str">
        <x:v>Направление</x:v>
      </x:c>
      <x:c r="D15" s="40" t="str">
        <x:v>Смысл</x:v>
      </x:c>
      <x:c r="E15" s="60"/>
      <x:c r="F15" s="60"/>
      <x:c r="G15" s="60"/>
      <x:c r="H15" s="60"/>
    </x:row>
    <x:row r="16">
      <x:c r="A16" s="64" t="str">
        <x:v>C1</x:v>
      </x:c>
      <x:c r="B16" s="60" t="str">
        <x:v>Практическая полезность</x:v>
      </x:c>
      <x:c r="C16" s="60" t="str">
        <x:v>MAX</x:v>
      </x:c>
      <x:c r="D16" s="62" t="str">
        <x:v>Насколько продукт полезен и реалистично востребован</x:v>
      </x:c>
      <x:c r="E16" s="60"/>
      <x:c r="F16" s="60"/>
      <x:c r="G16" s="60"/>
      <x:c r="H16" s="60"/>
    </x:row>
    <x:row r="17">
      <x:c r="A17" s="64" t="str">
        <x:v>C2</x:v>
      </x:c>
      <x:c r="B17" s="60" t="str">
        <x:v>Функциональная наполненность</x:v>
      </x:c>
      <x:c r="C17" s="60" t="str">
        <x:v>MAX</x:v>
      </x:c>
      <x:c r="D17" s="62" t="str">
        <x:v>Наличие разнообразных функций и бизнес-процессов</x:v>
      </x:c>
      <x:c r="E17" s="60"/>
      <x:c r="F17" s="60"/>
      <x:c r="G17" s="60"/>
      <x:c r="H17" s="60"/>
    </x:row>
    <x:row r="18">
      <x:c r="A18" s="64" t="str">
        <x:v>C3</x:v>
      </x:c>
      <x:c r="B18" s="60" t="str">
        <x:v>Удобство формирования Use Cases</x:v>
      </x:c>
      <x:c r="C18" s="60" t="str">
        <x:v>MAX</x:v>
      </x:c>
      <x:c r="D18" s="62" t="str">
        <x:v>Насколько естественно выделяются 10–15 Use Cases</x:v>
      </x:c>
      <x:c r="E18" s="60"/>
      <x:c r="F18" s="60"/>
      <x:c r="G18" s="60"/>
      <x:c r="H18" s="60"/>
    </x:row>
    <x:row r="19">
      <x:c r="A19" s="64" t="str">
        <x:v>C4</x:v>
      </x:c>
      <x:c r="B19" s="60" t="str">
        <x:v>Сложность реализации</x:v>
      </x:c>
      <x:c r="C19" s="60" t="str">
        <x:v>MIN</x:v>
      </x:c>
      <x:c r="D19" s="62" t="str">
        <x:v>Трудность разработки; меньше — лучше</x:v>
      </x:c>
      <x:c r="E19" s="60"/>
      <x:c r="F19" s="60"/>
      <x:c r="G19" s="60"/>
      <x:c r="H19" s="60"/>
    </x:row>
    <x:row r="20">
      <x:c r="A20" s="64" t="str">
        <x:v>C5</x:v>
      </x:c>
      <x:c r="B20" s="60" t="str">
        <x:v>Удобство оценки и планирования</x:v>
      </x:c>
      <x:c r="C20" s="60" t="str">
        <x:v>MAX</x:v>
      </x:c>
      <x:c r="D20" s="62" t="str">
        <x:v>Пригодность для COSMIC, UCP, трудозатрат и планирования</x:v>
      </x:c>
      <x:c r="E20" s="60"/>
      <x:c r="F20" s="60"/>
      <x:c r="G20" s="60"/>
      <x:c r="H20" s="60"/>
    </x:row>
    <x:row r="21">
      <x:c r="A21" s="65" t="str">
        <x:v>C6</x:v>
      </x:c>
      <x:c r="B21" s="66" t="str">
        <x:v>Наглядность и понятность проекта</x:v>
      </x:c>
      <x:c r="C21" s="66" t="str">
        <x:v>MAX</x:v>
      </x:c>
      <x:c r="D21" s="63" t="str">
        <x:v>Насколько легко объяснить и защитить проект</x:v>
      </x:c>
      <x:c r="E21" s="60"/>
      <x:c r="F21" s="60"/>
      <x:c r="G21" s="60"/>
      <x:c r="H21" s="60"/>
    </x:row>
    <x:row r="22">
      <x:c r="A22" s="60"/>
      <x:c r="B22" s="60"/>
      <x:c r="C22" s="60"/>
      <x:c r="D22" s="60"/>
      <x:c r="E22" s="60"/>
      <x:c r="F22" s="60"/>
      <x:c r="G22" s="60"/>
      <x:c r="H22" s="60"/>
    </x:row>
    <x:row r="23">
      <x:c r="A23" s="67" t="str">
        <x:v>Методические договорённости</x:v>
      </x:c>
      <x:c r="B23" s="67" t="str"/>
      <x:c r="C23" s="67" t="str"/>
      <x:c r="D23" s="67" t="str"/>
      <x:c r="E23" s="67" t="str"/>
      <x:c r="F23" s="67" t="str"/>
      <x:c r="G23" s="67" t="str"/>
      <x:c r="H23" s="67" t="str"/>
    </x:row>
    <x:row r="24">
      <x:c r="A24" s="16" t="str">
        <x:v>Экспертная шкала</x:v>
      </x:c>
      <x:c r="B24" s="68" t="str">
        <x:v>1–10: 1 — минимальная оценка, 10 — максимальная</x:v>
      </x:c>
      <x:c r="C24" s="68" t="str"/>
      <x:c r="D24" s="68" t="str"/>
      <x:c r="E24" s="68" t="str"/>
      <x:c r="F24" s="68" t="str"/>
      <x:c r="G24" s="68" t="str"/>
      <x:c r="H24" s="61" t="str"/>
    </x:row>
    <x:row r="25">
      <x:c r="A25" s="18" t="str">
        <x:v>Трёхточечная оценка</x:v>
      </x:c>
      <x:c r="B25" s="60" t="str">
        <x:v>Для 4 экспертов используется (min; median; max). Медиана учитывает обе центральные оценки.</x:v>
      </x:c>
      <x:c r="C25" s="60" t="str"/>
      <x:c r="D25" s="60" t="str"/>
      <x:c r="E25" s="60" t="str"/>
      <x:c r="F25" s="60" t="str"/>
      <x:c r="G25" s="60" t="str"/>
      <x:c r="H25" s="62" t="str"/>
    </x:row>
    <x:row r="26">
      <x:c r="A26" s="18" t="str">
        <x:v>TOPSIS</x:v>
      </x:c>
      <x:c r="B26" s="60" t="str">
        <x:v>Треугольные нечёткие числа, вершинное расстояние; для MAX и MIN применяются разные правила нормализации.</x:v>
      </x:c>
      <x:c r="C26" s="60" t="str"/>
      <x:c r="D26" s="60" t="str"/>
      <x:c r="E26" s="60" t="str"/>
      <x:c r="F26" s="60" t="str"/>
      <x:c r="G26" s="60" t="str"/>
      <x:c r="H26" s="62" t="str"/>
    </x:row>
    <x:row r="27">
      <x:c r="A27" s="18" t="str">
        <x:v>МАИ</x:v>
      </x:c>
      <x:c r="B27" s="60" t="str">
        <x:v>Индивидуальные шкальные оценки переводятся в попарные отношения Саати по разности баллов; коллективная матрица — геометрическое среднее.</x:v>
      </x:c>
      <x:c r="C27" s="60" t="str"/>
      <x:c r="D27" s="60" t="str"/>
      <x:c r="E27" s="60" t="str"/>
      <x:c r="F27" s="60" t="str"/>
      <x:c r="G27" s="60" t="str"/>
      <x:c r="H27" s="62" t="str"/>
    </x:row>
    <x:row r="28">
      <x:c r="A28" s="18" t="str">
        <x:v>Согласованность МАИ</x:v>
      </x:c>
      <x:c r="B28" s="60" t="str">
        <x:v>CR &lt; 0,10 считается приемлемым.</x:v>
      </x:c>
      <x:c r="C28" s="60" t="str"/>
      <x:c r="D28" s="60" t="str"/>
      <x:c r="E28" s="60" t="str"/>
      <x:c r="F28" s="60" t="str"/>
      <x:c r="G28" s="60" t="str"/>
      <x:c r="H28" s="62" t="str"/>
    </x:row>
    <x:row r="29">
      <x:c r="A29" s="18" t="str">
        <x:v>Примечание по LLM</x:v>
      </x:c>
      <x:c r="B29" s="60" t="str">
        <x:v>LLM используется для генерации первоначальных вариантов концепций и критериев; итоговые оценки и расчётные результаты фиксируются в таблицах.</x:v>
      </x:c>
      <x:c r="C29" s="60" t="str"/>
      <x:c r="D29" s="60" t="str"/>
      <x:c r="E29" s="60" t="str"/>
      <x:c r="F29" s="60" t="str"/>
      <x:c r="G29" s="60" t="str"/>
      <x:c r="H29" s="62" t="str"/>
    </x:row>
    <x:row r="30">
      <x:c r="A30" s="20" t="str">
        <x:v>Итог</x:v>
      </x:c>
      <x:c r="B30" s="66" t="str">
        <x:v>Выбранная концепция определяется только после сравнения TOPSIS и МАИ.</x:v>
      </x:c>
      <x:c r="C30" s="66" t="str"/>
      <x:c r="D30" s="66" t="str"/>
      <x:c r="E30" s="66" t="str"/>
      <x:c r="F30" s="66" t="str"/>
      <x:c r="G30" s="66" t="str"/>
      <x:c r="H30" s="63" t="str"/>
    </x:row>
  </x:sheetData>
  <x:mergeCells>
    <x:mergeCell ref="A1:H1"/>
    <x:mergeCell ref="A23:H23"/>
    <x:mergeCell ref="B24:H24"/>
    <x:mergeCell ref="B25:H25"/>
    <x:mergeCell ref="B26:H26"/>
    <x:mergeCell ref="B27:H27"/>
    <x:mergeCell ref="B28:H28"/>
    <x:mergeCell ref="B29:H29"/>
    <x:mergeCell ref="B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4" hidden="0" customWidth="1"/>
    <x:col min="10" max="10" width="28" hidden="0" customWidth="1"/>
  </x:cols>
  <x:sheetData>
    <x:row r="1">
      <x:c r="A1" s="89" t="str">
        <x:v>Экспертная оценка важности критериев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</x:row>
    <x:row r="3">
      <x:c r="A3" s="38" t="str">
        <x:v>Эксперт</x:v>
      </x:c>
      <x:c r="B3" s="39" t="str">
        <x:v>C1</x:v>
      </x:c>
      <x:c r="C3" s="39" t="str">
        <x:v>C2</x:v>
      </x:c>
      <x:c r="D3" s="39" t="str">
        <x:v>C3</x:v>
      </x:c>
      <x:c r="E3" s="39" t="str">
        <x:v>C4</x:v>
      </x:c>
      <x:c r="F3" s="39" t="str">
        <x:v>C5</x:v>
      </x:c>
      <x:c r="G3" s="40" t="str">
        <x:v>C6</x:v>
      </x:c>
      <x:c r="H3" s="60"/>
      <x:c r="I3" s="60"/>
      <x:c r="J3" s="60"/>
    </x:row>
    <x:row r="4">
      <x:c r="A4" s="64" t="str">
        <x:v>Владислав</x:v>
      </x:c>
      <x:c r="B4" s="60" t="n">
        <x:v>9</x:v>
      </x:c>
      <x:c r="C4" s="60" t="n">
        <x:v>8</x:v>
      </x:c>
      <x:c r="D4" s="60" t="n">
        <x:v>9</x:v>
      </x:c>
      <x:c r="E4" s="60" t="n">
        <x:v>7</x:v>
      </x:c>
      <x:c r="F4" s="60" t="n">
        <x:v>9</x:v>
      </x:c>
      <x:c r="G4" s="62" t="n">
        <x:v>7</x:v>
      </x:c>
      <x:c r="H4" s="60"/>
      <x:c r="I4" s="60"/>
      <x:c r="J4" s="60"/>
    </x:row>
    <x:row r="5">
      <x:c r="A5" s="64" t="str">
        <x:v>Виталий</x:v>
      </x:c>
      <x:c r="B5" s="60" t="n">
        <x:v>8</x:v>
      </x:c>
      <x:c r="C5" s="60" t="n">
        <x:v>8</x:v>
      </x:c>
      <x:c r="D5" s="60" t="n">
        <x:v>9</x:v>
      </x:c>
      <x:c r="E5" s="60" t="n">
        <x:v>8</x:v>
      </x:c>
      <x:c r="F5" s="60" t="n">
        <x:v>8</x:v>
      </x:c>
      <x:c r="G5" s="62" t="n">
        <x:v>7</x:v>
      </x:c>
      <x:c r="H5" s="60"/>
      <x:c r="I5" s="60"/>
      <x:c r="J5" s="60"/>
    </x:row>
    <x:row r="6">
      <x:c r="A6" s="64" t="str">
        <x:v>Елена</x:v>
      </x:c>
      <x:c r="B6" s="60" t="n">
        <x:v>9</x:v>
      </x:c>
      <x:c r="C6" s="60" t="n">
        <x:v>7</x:v>
      </x:c>
      <x:c r="D6" s="60" t="n">
        <x:v>8</x:v>
      </x:c>
      <x:c r="E6" s="60" t="n">
        <x:v>7</x:v>
      </x:c>
      <x:c r="F6" s="60" t="n">
        <x:v>9</x:v>
      </x:c>
      <x:c r="G6" s="62" t="n">
        <x:v>8</x:v>
      </x:c>
      <x:c r="H6" s="60"/>
      <x:c r="I6" s="60"/>
      <x:c r="J6" s="60"/>
    </x:row>
    <x:row r="7">
      <x:c r="A7" s="65" t="str">
        <x:v>Антон</x:v>
      </x:c>
      <x:c r="B7" s="66" t="n">
        <x:v>8</x:v>
      </x:c>
      <x:c r="C7" s="66" t="n">
        <x:v>8</x:v>
      </x:c>
      <x:c r="D7" s="66" t="n">
        <x:v>8</x:v>
      </x:c>
      <x:c r="E7" s="66" t="n">
        <x:v>7</x:v>
      </x:c>
      <x:c r="F7" s="66" t="n">
        <x:v>9</x:v>
      </x:c>
      <x:c r="G7" s="63" t="n">
        <x:v>7</x:v>
      </x:c>
      <x:c r="H7" s="60"/>
      <x:c r="I7" s="60"/>
      <x:c r="J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</x:row>
    <x:row r="9">
      <x:c r="A9" s="38" t="str">
        <x:v>Критерий</x:v>
      </x:c>
      <x:c r="B9" s="39" t="str">
        <x:v>L=min</x:v>
      </x:c>
      <x:c r="C9" s="39" t="str">
        <x:v>M=median</x:v>
      </x:c>
      <x:c r="D9" s="39" t="str">
        <x:v>U=max</x:v>
      </x:c>
      <x:c r="E9" s="39" t="str">
        <x:v>wL=L/10</x:v>
      </x:c>
      <x:c r="F9" s="39" t="str">
        <x:v>wM=M/10</x:v>
      </x:c>
      <x:c r="G9" s="39" t="str">
        <x:v>wU=U/10</x:v>
      </x:c>
      <x:c r="H9" s="39" t="str">
        <x:v>Направление</x:v>
      </x:c>
      <x:c r="I9" s="39" t="str">
        <x:v>Описание</x:v>
      </x:c>
      <x:c r="J9" s="40" t="str">
        <x:v>Комментарий</x:v>
      </x:c>
    </x:row>
    <x:row r="10">
      <x:c r="A10" s="64" t="str">
        <x:v>C1</x:v>
      </x:c>
      <x:c r="B10" s="90" t="n">
        <x:f>MIN(B4:B7)</x:f>
        <x:v>8</x:v>
      </x:c>
      <x:c r="C10" s="90" t="n">
        <x:f>MEDIAN(B4:B7)</x:f>
        <x:v>8.5</x:v>
      </x:c>
      <x:c r="D10" s="90" t="n">
        <x:f>MAX(B4:B7)</x:f>
        <x:v>9</x:v>
      </x:c>
      <x:c r="E10" s="90" t="n">
        <x:f>B10/10</x:f>
        <x:v>0.8</x:v>
      </x:c>
      <x:c r="F10" s="90" t="n">
        <x:f>C10/10</x:f>
        <x:v>0.85</x:v>
      </x:c>
      <x:c r="G10" s="90" t="n">
        <x:f>D10/10</x:f>
        <x:v>0.9</x:v>
      </x:c>
      <x:c r="H10" s="60" t="str">
        <x:v>MAX</x:v>
      </x:c>
      <x:c r="I10" s="60" t="str">
        <x:v>Практическая полезность</x:v>
      </x:c>
      <x:c r="J10" s="62" t="str">
        <x:v>Коллективный треугольный вес</x:v>
      </x:c>
    </x:row>
    <x:row r="11">
      <x:c r="A11" s="64" t="str">
        <x:v>C2</x:v>
      </x:c>
      <x:c r="B11" s="90" t="n">
        <x:f>MIN(C4:C7)</x:f>
        <x:v>7</x:v>
      </x:c>
      <x:c r="C11" s="90" t="n">
        <x:f>MEDIAN(C4:C7)</x:f>
        <x:v>8</x:v>
      </x:c>
      <x:c r="D11" s="90" t="n">
        <x:f>MAX(C4:C7)</x:f>
        <x:v>8</x:v>
      </x:c>
      <x:c r="E11" s="90" t="n">
        <x:f>B11/10</x:f>
        <x:v>0.7</x:v>
      </x:c>
      <x:c r="F11" s="90" t="n">
        <x:f>C11/10</x:f>
        <x:v>0.8</x:v>
      </x:c>
      <x:c r="G11" s="90" t="n">
        <x:f>D11/10</x:f>
        <x:v>0.8</x:v>
      </x:c>
      <x:c r="H11" s="60" t="str">
        <x:v>MAX</x:v>
      </x:c>
      <x:c r="I11" s="60" t="str">
        <x:v>Функциональная наполненность</x:v>
      </x:c>
      <x:c r="J11" s="62" t="str">
        <x:v>Коллективный треугольный вес</x:v>
      </x:c>
    </x:row>
    <x:row r="12">
      <x:c r="A12" s="64" t="str">
        <x:v>C3</x:v>
      </x:c>
      <x:c r="B12" s="90" t="n">
        <x:f>MIN(D4:D7)</x:f>
        <x:v>8</x:v>
      </x:c>
      <x:c r="C12" s="90" t="n">
        <x:f>MEDIAN(D4:D7)</x:f>
        <x:v>8.5</x:v>
      </x:c>
      <x:c r="D12" s="90" t="n">
        <x:f>MAX(D4:D7)</x:f>
        <x:v>9</x:v>
      </x:c>
      <x:c r="E12" s="90" t="n">
        <x:f>B12/10</x:f>
        <x:v>0.8</x:v>
      </x:c>
      <x:c r="F12" s="90" t="n">
        <x:f>C12/10</x:f>
        <x:v>0.85</x:v>
      </x:c>
      <x:c r="G12" s="90" t="n">
        <x:f>D12/10</x:f>
        <x:v>0.9</x:v>
      </x:c>
      <x:c r="H12" s="60" t="str">
        <x:v>MAX</x:v>
      </x:c>
      <x:c r="I12" s="60" t="str">
        <x:v>Удобство формирования Use Cases</x:v>
      </x:c>
      <x:c r="J12" s="62" t="str">
        <x:v>Коллективный треугольный вес</x:v>
      </x:c>
    </x:row>
    <x:row r="13">
      <x:c r="A13" s="64" t="str">
        <x:v>C4</x:v>
      </x:c>
      <x:c r="B13" s="90" t="n">
        <x:f>MIN(E4:E7)</x:f>
        <x:v>7</x:v>
      </x:c>
      <x:c r="C13" s="90" t="n">
        <x:f>MEDIAN(E4:E7)</x:f>
        <x:v>7</x:v>
      </x:c>
      <x:c r="D13" s="90" t="n">
        <x:f>MAX(E4:E7)</x:f>
        <x:v>8</x:v>
      </x:c>
      <x:c r="E13" s="90" t="n">
        <x:f>B13/10</x:f>
        <x:v>0.7</x:v>
      </x:c>
      <x:c r="F13" s="90" t="n">
        <x:f>C13/10</x:f>
        <x:v>0.7</x:v>
      </x:c>
      <x:c r="G13" s="90" t="n">
        <x:f>D13/10</x:f>
        <x:v>0.8</x:v>
      </x:c>
      <x:c r="H13" s="60" t="str">
        <x:v>MIN</x:v>
      </x:c>
      <x:c r="I13" s="60" t="str">
        <x:v>Сложность реализации</x:v>
      </x:c>
      <x:c r="J13" s="62" t="str">
        <x:v>Коллективный треугольный вес</x:v>
      </x:c>
    </x:row>
    <x:row r="14">
      <x:c r="A14" s="64" t="str">
        <x:v>C5</x:v>
      </x:c>
      <x:c r="B14" s="90" t="n">
        <x:f>MIN(F4:F7)</x:f>
        <x:v>8</x:v>
      </x:c>
      <x:c r="C14" s="90" t="n">
        <x:f>MEDIAN(F4:F7)</x:f>
        <x:v>9</x:v>
      </x:c>
      <x:c r="D14" s="90" t="n">
        <x:f>MAX(F4:F7)</x:f>
        <x:v>9</x:v>
      </x:c>
      <x:c r="E14" s="90" t="n">
        <x:f>B14/10</x:f>
        <x:v>0.8</x:v>
      </x:c>
      <x:c r="F14" s="90" t="n">
        <x:f>C14/10</x:f>
        <x:v>0.9</x:v>
      </x:c>
      <x:c r="G14" s="90" t="n">
        <x:f>D14/10</x:f>
        <x:v>0.9</x:v>
      </x:c>
      <x:c r="H14" s="60" t="str">
        <x:v>MAX</x:v>
      </x:c>
      <x:c r="I14" s="60" t="str">
        <x:v>Удобство оценки и планирования</x:v>
      </x:c>
      <x:c r="J14" s="62" t="str">
        <x:v>Коллективный треугольный вес</x:v>
      </x:c>
    </x:row>
    <x:row r="15">
      <x:c r="A15" s="65" t="str">
        <x:v>C6</x:v>
      </x:c>
      <x:c r="B15" s="91" t="n">
        <x:f>MIN(G4:G7)</x:f>
        <x:v>7</x:v>
      </x:c>
      <x:c r="C15" s="91" t="n">
        <x:f>MEDIAN(G4:G7)</x:f>
        <x:v>7</x:v>
      </x:c>
      <x:c r="D15" s="91" t="n">
        <x:f>MAX(G4:G7)</x:f>
        <x:v>8</x:v>
      </x:c>
      <x:c r="E15" s="91" t="n">
        <x:f>B15/10</x:f>
        <x:v>0.7</x:v>
      </x:c>
      <x:c r="F15" s="91" t="n">
        <x:f>C15/10</x:f>
        <x:v>0.7</x:v>
      </x:c>
      <x:c r="G15" s="91" t="n">
        <x:f>D15/10</x:f>
        <x:v>0.8</x:v>
      </x:c>
      <x:c r="H15" s="66" t="str">
        <x:v>MAX</x:v>
      </x:c>
      <x:c r="I15" s="66" t="str">
        <x:v>Наглядность и понятность проекта</x:v>
      </x:c>
      <x:c r="J15" s="63" t="str">
        <x:v>Коллективный треугольный вес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89" t="str">
        <x:v>Индивидуальные оценки альтернатив по критериям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3">
      <x:c r="A3" s="38" t="str">
        <x:v>Критерий</x:v>
      </x:c>
      <x:c r="B3" s="39" t="str">
        <x:v>Напр.</x:v>
      </x:c>
      <x:c r="C3" s="39" t="str">
        <x:v>Альт.</x:v>
      </x:c>
      <x:c r="D3" s="39" t="str">
        <x:v>Концепция</x:v>
      </x:c>
      <x:c r="E3" s="39" t="str">
        <x:v>Владислав</x:v>
      </x:c>
      <x:c r="F3" s="39" t="str">
        <x:v>Виталий</x:v>
      </x:c>
      <x:c r="G3" s="39" t="str">
        <x:v>Елена</x:v>
      </x:c>
      <x:c r="H3" s="39" t="str">
        <x:v>Антон</x:v>
      </x:c>
      <x:c r="I3" s="39" t="str">
        <x:v>L=min</x:v>
      </x:c>
      <x:c r="J3" s="39" t="str">
        <x:v>M=median</x:v>
      </x:c>
      <x:c r="K3" s="40" t="str">
        <x:v>U=max</x:v>
      </x:c>
    </x:row>
    <x:row r="4">
      <x:c r="A4" s="64" t="str">
        <x:v>C1</x:v>
      </x:c>
      <x:c r="B4" s="60" t="str">
        <x:v>MAX</x:v>
      </x:c>
      <x:c r="C4" s="60" t="str">
        <x:v>A1</x:v>
      </x:c>
      <x:c r="D4" s="60" t="str">
        <x:v>Система аренды автомобилей</x:v>
      </x:c>
      <x:c r="E4" s="60" t="n">
        <x:v>9</x:v>
      </x:c>
      <x:c r="F4" s="60" t="n">
        <x:v>9</x:v>
      </x:c>
      <x:c r="G4" s="60" t="n">
        <x:v>8</x:v>
      </x:c>
      <x:c r="H4" s="60" t="n">
        <x:v>9</x:v>
      </x:c>
      <x:c r="I4" s="90" t="n">
        <x:f>MIN(E4:H4)</x:f>
        <x:v>8</x:v>
      </x:c>
      <x:c r="J4" s="90" t="n">
        <x:f>MEDIAN(E4:H4)</x:f>
        <x:v>9</x:v>
      </x:c>
      <x:c r="K4" s="99" t="n">
        <x:f>MAX(E4:H4)</x:f>
        <x:v>9</x:v>
      </x:c>
    </x:row>
    <x:row r="5">
      <x:c r="A5" s="64" t="str">
        <x:v>C1</x:v>
      </x:c>
      <x:c r="B5" s="60" t="str">
        <x:v>MAX</x:v>
      </x:c>
      <x:c r="C5" s="60" t="str">
        <x:v>A2</x:v>
      </x:c>
      <x:c r="D5" s="60" t="str">
        <x:v>Информационная система автосервиса</x:v>
      </x:c>
      <x:c r="E5" s="60" t="n">
        <x:v>9</x:v>
      </x:c>
      <x:c r="F5" s="60" t="n">
        <x:v>8</x:v>
      </x:c>
      <x:c r="G5" s="60" t="n">
        <x:v>9</x:v>
      </x:c>
      <x:c r="H5" s="60" t="n">
        <x:v>8</x:v>
      </x:c>
      <x:c r="I5" s="90" t="n">
        <x:f>MIN(E5:H5)</x:f>
        <x:v>8</x:v>
      </x:c>
      <x:c r="J5" s="90" t="n">
        <x:f>MEDIAN(E5:H5)</x:f>
        <x:v>8.5</x:v>
      </x:c>
      <x:c r="K5" s="99" t="n">
        <x:f>MAX(E5:H5)</x:f>
        <x:v>9</x:v>
      </x:c>
    </x:row>
    <x:row r="6">
      <x:c r="A6" s="64" t="str">
        <x:v>C1</x:v>
      </x:c>
      <x:c r="B6" s="60" t="str">
        <x:v>MAX</x:v>
      </x:c>
      <x:c r="C6" s="60" t="str">
        <x:v>A3</x:v>
      </x:c>
      <x:c r="D6" s="60" t="str">
        <x:v>Система учёта и анализа личных финансов</x:v>
      </x:c>
      <x:c r="E6" s="60" t="n">
        <x:v>8</x:v>
      </x:c>
      <x:c r="F6" s="60" t="n">
        <x:v>9</x:v>
      </x:c>
      <x:c r="G6" s="60" t="n">
        <x:v>8</x:v>
      </x:c>
      <x:c r="H6" s="60" t="n">
        <x:v>8</x:v>
      </x:c>
      <x:c r="I6" s="90" t="n">
        <x:f>MIN(E6:H6)</x:f>
        <x:v>8</x:v>
      </x:c>
      <x:c r="J6" s="90" t="n">
        <x:f>MEDIAN(E6:H6)</x:f>
        <x:v>8</x:v>
      </x:c>
      <x:c r="K6" s="99" t="n">
        <x:f>MAX(E6:H6)</x:f>
        <x:v>9</x:v>
      </x:c>
    </x:row>
    <x:row r="7">
      <x:c r="A7" s="64" t="str">
        <x:v>C1</x:v>
      </x:c>
      <x:c r="B7" s="60" t="str">
        <x:v>MAX</x:v>
      </x:c>
      <x:c r="C7" s="60" t="str">
        <x:v>A4</x:v>
      </x:c>
      <x:c r="D7" s="60" t="str">
        <x:v>Система управления фитнес-клубом</x:v>
      </x:c>
      <x:c r="E7" s="60" t="n">
        <x:v>8</x:v>
      </x:c>
      <x:c r="F7" s="60" t="n">
        <x:v>8</x:v>
      </x:c>
      <x:c r="G7" s="60" t="n">
        <x:v>7</x:v>
      </x:c>
      <x:c r="H7" s="60" t="n">
        <x:v>8</x:v>
      </x:c>
      <x:c r="I7" s="90" t="n">
        <x:f>MIN(E7:H7)</x:f>
        <x:v>7</x:v>
      </x:c>
      <x:c r="J7" s="90" t="n">
        <x:f>MEDIAN(E7:H7)</x:f>
        <x:v>8</x:v>
      </x:c>
      <x:c r="K7" s="99" t="n">
        <x:f>MAX(E7:H7)</x:f>
        <x:v>8</x:v>
      </x:c>
    </x:row>
    <x:row r="8">
      <x:c r="A8" s="64" t="str">
        <x:v>C2</x:v>
      </x:c>
      <x:c r="B8" s="60" t="str">
        <x:v>MAX</x:v>
      </x:c>
      <x:c r="C8" s="60" t="str">
        <x:v>A1</x:v>
      </x:c>
      <x:c r="D8" s="60" t="str">
        <x:v>Система аренды автомобилей</x:v>
      </x:c>
      <x:c r="E8" s="60" t="n">
        <x:v>9</x:v>
      </x:c>
      <x:c r="F8" s="60" t="n">
        <x:v>8</x:v>
      </x:c>
      <x:c r="G8" s="60" t="n">
        <x:v>9</x:v>
      </x:c>
      <x:c r="H8" s="60" t="n">
        <x:v>8</x:v>
      </x:c>
      <x:c r="I8" s="90" t="n">
        <x:f>MIN(E8:H8)</x:f>
        <x:v>8</x:v>
      </x:c>
      <x:c r="J8" s="90" t="n">
        <x:f>MEDIAN(E8:H8)</x:f>
        <x:v>8.5</x:v>
      </x:c>
      <x:c r="K8" s="99" t="n">
        <x:f>MAX(E8:H8)</x:f>
        <x:v>9</x:v>
      </x:c>
    </x:row>
    <x:row r="9">
      <x:c r="A9" s="64" t="str">
        <x:v>C2</x:v>
      </x:c>
      <x:c r="B9" s="60" t="str">
        <x:v>MAX</x:v>
      </x:c>
      <x:c r="C9" s="60" t="str">
        <x:v>A2</x:v>
      </x:c>
      <x:c r="D9" s="60" t="str">
        <x:v>Информационная система автосервиса</x:v>
      </x:c>
      <x:c r="E9" s="60" t="n">
        <x:v>9</x:v>
      </x:c>
      <x:c r="F9" s="60" t="n">
        <x:v>9</x:v>
      </x:c>
      <x:c r="G9" s="60" t="n">
        <x:v>8</x:v>
      </x:c>
      <x:c r="H9" s="60" t="n">
        <x:v>9</x:v>
      </x:c>
      <x:c r="I9" s="90" t="n">
        <x:f>MIN(E9:H9)</x:f>
        <x:v>8</x:v>
      </x:c>
      <x:c r="J9" s="90" t="n">
        <x:f>MEDIAN(E9:H9)</x:f>
        <x:v>9</x:v>
      </x:c>
      <x:c r="K9" s="99" t="n">
        <x:f>MAX(E9:H9)</x:f>
        <x:v>9</x:v>
      </x:c>
    </x:row>
    <x:row r="10">
      <x:c r="A10" s="64" t="str">
        <x:v>C2</x:v>
      </x:c>
      <x:c r="B10" s="60" t="str">
        <x:v>MAX</x:v>
      </x:c>
      <x:c r="C10" s="60" t="str">
        <x:v>A3</x:v>
      </x:c>
      <x:c r="D10" s="60" t="str">
        <x:v>Система учёта и анализа личных финансов</x:v>
      </x:c>
      <x:c r="E10" s="60" t="n">
        <x:v>8</x:v>
      </x:c>
      <x:c r="F10" s="60" t="n">
        <x:v>8</x:v>
      </x:c>
      <x:c r="G10" s="60" t="n">
        <x:v>8</x:v>
      </x:c>
      <x:c r="H10" s="60" t="n">
        <x:v>7</x:v>
      </x:c>
      <x:c r="I10" s="90" t="n">
        <x:f>MIN(E10:H10)</x:f>
        <x:v>7</x:v>
      </x:c>
      <x:c r="J10" s="90" t="n">
        <x:f>MEDIAN(E10:H10)</x:f>
        <x:v>8</x:v>
      </x:c>
      <x:c r="K10" s="99" t="n">
        <x:f>MAX(E10:H10)</x:f>
        <x:v>8</x:v>
      </x:c>
    </x:row>
    <x:row r="11">
      <x:c r="A11" s="64" t="str">
        <x:v>C2</x:v>
      </x:c>
      <x:c r="B11" s="60" t="str">
        <x:v>MAX</x:v>
      </x:c>
      <x:c r="C11" s="60" t="str">
        <x:v>A4</x:v>
      </x:c>
      <x:c r="D11" s="60" t="str">
        <x:v>Система управления фитнес-клубом</x:v>
      </x:c>
      <x:c r="E11" s="60" t="n">
        <x:v>8</x:v>
      </x:c>
      <x:c r="F11" s="60" t="n">
        <x:v>7</x:v>
      </x:c>
      <x:c r="G11" s="60" t="n">
        <x:v>8</x:v>
      </x:c>
      <x:c r="H11" s="60" t="n">
        <x:v>8</x:v>
      </x:c>
      <x:c r="I11" s="90" t="n">
        <x:f>MIN(E11:H11)</x:f>
        <x:v>7</x:v>
      </x:c>
      <x:c r="J11" s="90" t="n">
        <x:f>MEDIAN(E11:H11)</x:f>
        <x:v>8</x:v>
      </x:c>
      <x:c r="K11" s="99" t="n">
        <x:f>MAX(E11:H11)</x:f>
        <x:v>8</x:v>
      </x:c>
    </x:row>
    <x:row r="12">
      <x:c r="A12" s="64" t="str">
        <x:v>C3</x:v>
      </x:c>
      <x:c r="B12" s="60" t="str">
        <x:v>MAX</x:v>
      </x:c>
      <x:c r="C12" s="60" t="str">
        <x:v>A1</x:v>
      </x:c>
      <x:c r="D12" s="60" t="str">
        <x:v>Система аренды автомобилей</x:v>
      </x:c>
      <x:c r="E12" s="60" t="n">
        <x:v>9</x:v>
      </x:c>
      <x:c r="F12" s="60" t="n">
        <x:v>9</x:v>
      </x:c>
      <x:c r="G12" s="60" t="n">
        <x:v>9</x:v>
      </x:c>
      <x:c r="H12" s="60" t="n">
        <x:v>8</x:v>
      </x:c>
      <x:c r="I12" s="90" t="n">
        <x:f>MIN(E12:H12)</x:f>
        <x:v>8</x:v>
      </x:c>
      <x:c r="J12" s="90" t="n">
        <x:f>MEDIAN(E12:H12)</x:f>
        <x:v>9</x:v>
      </x:c>
      <x:c r="K12" s="99" t="n">
        <x:f>MAX(E12:H12)</x:f>
        <x:v>9</x:v>
      </x:c>
    </x:row>
    <x:row r="13">
      <x:c r="A13" s="64" t="str">
        <x:v>C3</x:v>
      </x:c>
      <x:c r="B13" s="60" t="str">
        <x:v>MAX</x:v>
      </x:c>
      <x:c r="C13" s="60" t="str">
        <x:v>A2</x:v>
      </x:c>
      <x:c r="D13" s="60" t="str">
        <x:v>Информационная система автосервиса</x:v>
      </x:c>
      <x:c r="E13" s="60" t="n">
        <x:v>9</x:v>
      </x:c>
      <x:c r="F13" s="60" t="n">
        <x:v>8</x:v>
      </x:c>
      <x:c r="G13" s="60" t="n">
        <x:v>9</x:v>
      </x:c>
      <x:c r="H13" s="60" t="n">
        <x:v>9</x:v>
      </x:c>
      <x:c r="I13" s="90" t="n">
        <x:f>MIN(E13:H13)</x:f>
        <x:v>8</x:v>
      </x:c>
      <x:c r="J13" s="90" t="n">
        <x:f>MEDIAN(E13:H13)</x:f>
        <x:v>9</x:v>
      </x:c>
      <x:c r="K13" s="99" t="n">
        <x:f>MAX(E13:H13)</x:f>
        <x:v>9</x:v>
      </x:c>
    </x:row>
    <x:row r="14">
      <x:c r="A14" s="64" t="str">
        <x:v>C3</x:v>
      </x:c>
      <x:c r="B14" s="60" t="str">
        <x:v>MAX</x:v>
      </x:c>
      <x:c r="C14" s="60" t="str">
        <x:v>A3</x:v>
      </x:c>
      <x:c r="D14" s="60" t="str">
        <x:v>Система учёта и анализа личных финансов</x:v>
      </x:c>
      <x:c r="E14" s="60" t="n">
        <x:v>8</x:v>
      </x:c>
      <x:c r="F14" s="60" t="n">
        <x:v>8</x:v>
      </x:c>
      <x:c r="G14" s="60" t="n">
        <x:v>9</x:v>
      </x:c>
      <x:c r="H14" s="60" t="n">
        <x:v>8</x:v>
      </x:c>
      <x:c r="I14" s="90" t="n">
        <x:f>MIN(E14:H14)</x:f>
        <x:v>8</x:v>
      </x:c>
      <x:c r="J14" s="90" t="n">
        <x:f>MEDIAN(E14:H14)</x:f>
        <x:v>8</x:v>
      </x:c>
      <x:c r="K14" s="99" t="n">
        <x:f>MAX(E14:H14)</x:f>
        <x:v>9</x:v>
      </x:c>
    </x:row>
    <x:row r="15">
      <x:c r="A15" s="64" t="str">
        <x:v>C3</x:v>
      </x:c>
      <x:c r="B15" s="60" t="str">
        <x:v>MAX</x:v>
      </x:c>
      <x:c r="C15" s="60" t="str">
        <x:v>A4</x:v>
      </x:c>
      <x:c r="D15" s="60" t="str">
        <x:v>Система управления фитнес-клубом</x:v>
      </x:c>
      <x:c r="E15" s="60" t="n">
        <x:v>8</x:v>
      </x:c>
      <x:c r="F15" s="60" t="n">
        <x:v>8</x:v>
      </x:c>
      <x:c r="G15" s="60" t="n">
        <x:v>8</x:v>
      </x:c>
      <x:c r="H15" s="60" t="n">
        <x:v>9</x:v>
      </x:c>
      <x:c r="I15" s="90" t="n">
        <x:f>MIN(E15:H15)</x:f>
        <x:v>8</x:v>
      </x:c>
      <x:c r="J15" s="90" t="n">
        <x:f>MEDIAN(E15:H15)</x:f>
        <x:v>8</x:v>
      </x:c>
      <x:c r="K15" s="99" t="n">
        <x:f>MAX(E15:H15)</x:f>
        <x:v>9</x:v>
      </x:c>
    </x:row>
    <x:row r="16">
      <x:c r="A16" s="64" t="str">
        <x:v>C4</x:v>
      </x:c>
      <x:c r="B16" s="60" t="str">
        <x:v>MIN</x:v>
      </x:c>
      <x:c r="C16" s="60" t="str">
        <x:v>A1</x:v>
      </x:c>
      <x:c r="D16" s="60" t="str">
        <x:v>Система аренды автомобилей</x:v>
      </x:c>
      <x:c r="E16" s="60" t="n">
        <x:v>6</x:v>
      </x:c>
      <x:c r="F16" s="60" t="n">
        <x:v>6</x:v>
      </x:c>
      <x:c r="G16" s="60" t="n">
        <x:v>7</x:v>
      </x:c>
      <x:c r="H16" s="60" t="n">
        <x:v>6</x:v>
      </x:c>
      <x:c r="I16" s="90" t="n">
        <x:f>MIN(E16:H16)</x:f>
        <x:v>6</x:v>
      </x:c>
      <x:c r="J16" s="90" t="n">
        <x:f>MEDIAN(E16:H16)</x:f>
        <x:v>6</x:v>
      </x:c>
      <x:c r="K16" s="99" t="n">
        <x:f>MAX(E16:H16)</x:f>
        <x:v>7</x:v>
      </x:c>
    </x:row>
    <x:row r="17">
      <x:c r="A17" s="64" t="str">
        <x:v>C4</x:v>
      </x:c>
      <x:c r="B17" s="60" t="str">
        <x:v>MIN</x:v>
      </x:c>
      <x:c r="C17" s="60" t="str">
        <x:v>A2</x:v>
      </x:c>
      <x:c r="D17" s="60" t="str">
        <x:v>Информационная система автосервиса</x:v>
      </x:c>
      <x:c r="E17" s="60" t="n">
        <x:v>7</x:v>
      </x:c>
      <x:c r="F17" s="60" t="n">
        <x:v>7</x:v>
      </x:c>
      <x:c r="G17" s="60" t="n">
        <x:v>7</x:v>
      </x:c>
      <x:c r="H17" s="60" t="n">
        <x:v>6</x:v>
      </x:c>
      <x:c r="I17" s="90" t="n">
        <x:f>MIN(E17:H17)</x:f>
        <x:v>6</x:v>
      </x:c>
      <x:c r="J17" s="90" t="n">
        <x:f>MEDIAN(E17:H17)</x:f>
        <x:v>7</x:v>
      </x:c>
      <x:c r="K17" s="99" t="n">
        <x:f>MAX(E17:H17)</x:f>
        <x:v>7</x:v>
      </x:c>
    </x:row>
    <x:row r="18">
      <x:c r="A18" s="64" t="str">
        <x:v>C4</x:v>
      </x:c>
      <x:c r="B18" s="60" t="str">
        <x:v>MIN</x:v>
      </x:c>
      <x:c r="C18" s="60" t="str">
        <x:v>A3</x:v>
      </x:c>
      <x:c r="D18" s="60" t="str">
        <x:v>Система учёта и анализа личных финансов</x:v>
      </x:c>
      <x:c r="E18" s="60" t="n">
        <x:v>5</x:v>
      </x:c>
      <x:c r="F18" s="60" t="n">
        <x:v>5</x:v>
      </x:c>
      <x:c r="G18" s="60" t="n">
        <x:v>6</x:v>
      </x:c>
      <x:c r="H18" s="60" t="n">
        <x:v>5</x:v>
      </x:c>
      <x:c r="I18" s="90" t="n">
        <x:f>MIN(E18:H18)</x:f>
        <x:v>5</x:v>
      </x:c>
      <x:c r="J18" s="90" t="n">
        <x:f>MEDIAN(E18:H18)</x:f>
        <x:v>5</x:v>
      </x:c>
      <x:c r="K18" s="99" t="n">
        <x:f>MAX(E18:H18)</x:f>
        <x:v>6</x:v>
      </x:c>
    </x:row>
    <x:row r="19">
      <x:c r="A19" s="64" t="str">
        <x:v>C4</x:v>
      </x:c>
      <x:c r="B19" s="60" t="str">
        <x:v>MIN</x:v>
      </x:c>
      <x:c r="C19" s="60" t="str">
        <x:v>A4</x:v>
      </x:c>
      <x:c r="D19" s="60" t="str">
        <x:v>Система управления фитнес-клубом</x:v>
      </x:c>
      <x:c r="E19" s="60" t="n">
        <x:v>5</x:v>
      </x:c>
      <x:c r="F19" s="60" t="n">
        <x:v>6</x:v>
      </x:c>
      <x:c r="G19" s="60" t="n">
        <x:v>5</x:v>
      </x:c>
      <x:c r="H19" s="60" t="n">
        <x:v>5</x:v>
      </x:c>
      <x:c r="I19" s="90" t="n">
        <x:f>MIN(E19:H19)</x:f>
        <x:v>5</x:v>
      </x:c>
      <x:c r="J19" s="90" t="n">
        <x:f>MEDIAN(E19:H19)</x:f>
        <x:v>5</x:v>
      </x:c>
      <x:c r="K19" s="99" t="n">
        <x:f>MAX(E19:H19)</x:f>
        <x:v>6</x:v>
      </x:c>
    </x:row>
    <x:row r="20">
      <x:c r="A20" s="64" t="str">
        <x:v>C5</x:v>
      </x:c>
      <x:c r="B20" s="60" t="str">
        <x:v>MAX</x:v>
      </x:c>
      <x:c r="C20" s="60" t="str">
        <x:v>A1</x:v>
      </x:c>
      <x:c r="D20" s="60" t="str">
        <x:v>Система аренды автомобилей</x:v>
      </x:c>
      <x:c r="E20" s="60" t="n">
        <x:v>9</x:v>
      </x:c>
      <x:c r="F20" s="60" t="n">
        <x:v>9</x:v>
      </x:c>
      <x:c r="G20" s="60" t="n">
        <x:v>8</x:v>
      </x:c>
      <x:c r="H20" s="60" t="n">
        <x:v>9</x:v>
      </x:c>
      <x:c r="I20" s="90" t="n">
        <x:f>MIN(E20:H20)</x:f>
        <x:v>8</x:v>
      </x:c>
      <x:c r="J20" s="90" t="n">
        <x:f>MEDIAN(E20:H20)</x:f>
        <x:v>9</x:v>
      </x:c>
      <x:c r="K20" s="99" t="n">
        <x:f>MAX(E20:H20)</x:f>
        <x:v>9</x:v>
      </x:c>
    </x:row>
    <x:row r="21">
      <x:c r="A21" s="64" t="str">
        <x:v>C5</x:v>
      </x:c>
      <x:c r="B21" s="60" t="str">
        <x:v>MAX</x:v>
      </x:c>
      <x:c r="C21" s="60" t="str">
        <x:v>A2</x:v>
      </x:c>
      <x:c r="D21" s="60" t="str">
        <x:v>Информационная система автосервиса</x:v>
      </x:c>
      <x:c r="E21" s="60" t="n">
        <x:v>9</x:v>
      </x:c>
      <x:c r="F21" s="60" t="n">
        <x:v>8</x:v>
      </x:c>
      <x:c r="G21" s="60" t="n">
        <x:v>9</x:v>
      </x:c>
      <x:c r="H21" s="60" t="n">
        <x:v>9</x:v>
      </x:c>
      <x:c r="I21" s="90" t="n">
        <x:f>MIN(E21:H21)</x:f>
        <x:v>8</x:v>
      </x:c>
      <x:c r="J21" s="90" t="n">
        <x:f>MEDIAN(E21:H21)</x:f>
        <x:v>9</x:v>
      </x:c>
      <x:c r="K21" s="99" t="n">
        <x:f>MAX(E21:H21)</x:f>
        <x:v>9</x:v>
      </x:c>
    </x:row>
    <x:row r="22">
      <x:c r="A22" s="64" t="str">
        <x:v>C5</x:v>
      </x:c>
      <x:c r="B22" s="60" t="str">
        <x:v>MAX</x:v>
      </x:c>
      <x:c r="C22" s="60" t="str">
        <x:v>A3</x:v>
      </x:c>
      <x:c r="D22" s="60" t="str">
        <x:v>Система учёта и анализа личных финансов</x:v>
      </x:c>
      <x:c r="E22" s="60" t="n">
        <x:v>8</x:v>
      </x:c>
      <x:c r="F22" s="60" t="n">
        <x:v>8</x:v>
      </x:c>
      <x:c r="G22" s="60" t="n">
        <x:v>8</x:v>
      </x:c>
      <x:c r="H22" s="60" t="n">
        <x:v>8</x:v>
      </x:c>
      <x:c r="I22" s="90" t="n">
        <x:f>MIN(E22:H22)</x:f>
        <x:v>8</x:v>
      </x:c>
      <x:c r="J22" s="90" t="n">
        <x:f>MEDIAN(E22:H22)</x:f>
        <x:v>8</x:v>
      </x:c>
      <x:c r="K22" s="99" t="n">
        <x:f>MAX(E22:H22)</x:f>
        <x:v>8</x:v>
      </x:c>
    </x:row>
    <x:row r="23">
      <x:c r="A23" s="64" t="str">
        <x:v>C5</x:v>
      </x:c>
      <x:c r="B23" s="60" t="str">
        <x:v>MAX</x:v>
      </x:c>
      <x:c r="C23" s="60" t="str">
        <x:v>A4</x:v>
      </x:c>
      <x:c r="D23" s="60" t="str">
        <x:v>Система управления фитнес-клубом</x:v>
      </x:c>
      <x:c r="E23" s="60" t="n">
        <x:v>8</x:v>
      </x:c>
      <x:c r="F23" s="60" t="n">
        <x:v>7</x:v>
      </x:c>
      <x:c r="G23" s="60" t="n">
        <x:v>8</x:v>
      </x:c>
      <x:c r="H23" s="60" t="n">
        <x:v>8</x:v>
      </x:c>
      <x:c r="I23" s="90" t="n">
        <x:f>MIN(E23:H23)</x:f>
        <x:v>7</x:v>
      </x:c>
      <x:c r="J23" s="90" t="n">
        <x:f>MEDIAN(E23:H23)</x:f>
        <x:v>8</x:v>
      </x:c>
      <x:c r="K23" s="99" t="n">
        <x:f>MAX(E23:H23)</x:f>
        <x:v>8</x:v>
      </x:c>
    </x:row>
    <x:row r="24">
      <x:c r="A24" s="64" t="str">
        <x:v>C6</x:v>
      </x:c>
      <x:c r="B24" s="60" t="str">
        <x:v>MAX</x:v>
      </x:c>
      <x:c r="C24" s="60" t="str">
        <x:v>A1</x:v>
      </x:c>
      <x:c r="D24" s="60" t="str">
        <x:v>Система аренды автомобилей</x:v>
      </x:c>
      <x:c r="E24" s="60" t="n">
        <x:v>9</x:v>
      </x:c>
      <x:c r="F24" s="60" t="n">
        <x:v>8</x:v>
      </x:c>
      <x:c r="G24" s="60" t="n">
        <x:v>9</x:v>
      </x:c>
      <x:c r="H24" s="60" t="n">
        <x:v>9</x:v>
      </x:c>
      <x:c r="I24" s="90" t="n">
        <x:f>MIN(E24:H24)</x:f>
        <x:v>8</x:v>
      </x:c>
      <x:c r="J24" s="90" t="n">
        <x:f>MEDIAN(E24:H24)</x:f>
        <x:v>9</x:v>
      </x:c>
      <x:c r="K24" s="99" t="n">
        <x:f>MAX(E24:H24)</x:f>
        <x:v>9</x:v>
      </x:c>
    </x:row>
    <x:row r="25">
      <x:c r="A25" s="64" t="str">
        <x:v>C6</x:v>
      </x:c>
      <x:c r="B25" s="60" t="str">
        <x:v>MAX</x:v>
      </x:c>
      <x:c r="C25" s="60" t="str">
        <x:v>A2</x:v>
      </x:c>
      <x:c r="D25" s="60" t="str">
        <x:v>Информационная система автосервиса</x:v>
      </x:c>
      <x:c r="E25" s="60" t="n">
        <x:v>8</x:v>
      </x:c>
      <x:c r="F25" s="60" t="n">
        <x:v>8</x:v>
      </x:c>
      <x:c r="G25" s="60" t="n">
        <x:v>8</x:v>
      </x:c>
      <x:c r="H25" s="60" t="n">
        <x:v>9</x:v>
      </x:c>
      <x:c r="I25" s="90" t="n">
        <x:f>MIN(E25:H25)</x:f>
        <x:v>8</x:v>
      </x:c>
      <x:c r="J25" s="90" t="n">
        <x:f>MEDIAN(E25:H25)</x:f>
        <x:v>8</x:v>
      </x:c>
      <x:c r="K25" s="99" t="n">
        <x:f>MAX(E25:H25)</x:f>
        <x:v>9</x:v>
      </x:c>
    </x:row>
    <x:row r="26">
      <x:c r="A26" s="64" t="str">
        <x:v>C6</x:v>
      </x:c>
      <x:c r="B26" s="60" t="str">
        <x:v>MAX</x:v>
      </x:c>
      <x:c r="C26" s="60" t="str">
        <x:v>A3</x:v>
      </x:c>
      <x:c r="D26" s="60" t="str">
        <x:v>Система учёта и анализа личных финансов</x:v>
      </x:c>
      <x:c r="E26" s="60" t="n">
        <x:v>9</x:v>
      </x:c>
      <x:c r="F26" s="60" t="n">
        <x:v>9</x:v>
      </x:c>
      <x:c r="G26" s="60" t="n">
        <x:v>8</x:v>
      </x:c>
      <x:c r="H26" s="60" t="n">
        <x:v>8</x:v>
      </x:c>
      <x:c r="I26" s="90" t="n">
        <x:f>MIN(E26:H26)</x:f>
        <x:v>8</x:v>
      </x:c>
      <x:c r="J26" s="90" t="n">
        <x:f>MEDIAN(E26:H26)</x:f>
        <x:v>8.5</x:v>
      </x:c>
      <x:c r="K26" s="99" t="n">
        <x:f>MAX(E26:H26)</x:f>
        <x:v>9</x:v>
      </x:c>
    </x:row>
    <x:row r="27">
      <x:c r="A27" s="65" t="str">
        <x:v>C6</x:v>
      </x:c>
      <x:c r="B27" s="66" t="str">
        <x:v>MAX</x:v>
      </x:c>
      <x:c r="C27" s="66" t="str">
        <x:v>A4</x:v>
      </x:c>
      <x:c r="D27" s="66" t="str">
        <x:v>Система управления фитнес-клубом</x:v>
      </x:c>
      <x:c r="E27" s="66" t="n">
        <x:v>8</x:v>
      </x:c>
      <x:c r="F27" s="66" t="n">
        <x:v>9</x:v>
      </x:c>
      <x:c r="G27" s="66" t="n">
        <x:v>8</x:v>
      </x:c>
      <x:c r="H27" s="66" t="n">
        <x:v>8</x:v>
      </x:c>
      <x:c r="I27" s="91" t="n">
        <x:f>MIN(E27:H27)</x:f>
        <x:v>8</x:v>
      </x:c>
      <x:c r="J27" s="91" t="n">
        <x:f>MEDIAN(E27:H27)</x:f>
        <x:v>8</x:v>
      </x:c>
      <x:c r="K27" s="100" t="n">
        <x:f>MAX(E27:H27)</x:f>
        <x:v>9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>
      <x:c r="A1" s="89" t="str">
        <x:v>Нечёткий коллективный TOPSIS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  <x:c r="P1" s="89"/>
      <x:c r="Q1" s="89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</x:row>
    <x:row r="3">
      <x:c r="A3" s="38" t="str">
        <x:v>Крит.</x:v>
      </x:c>
      <x:c r="B3" s="39" t="str">
        <x:v>Альт.</x:v>
      </x:c>
      <x:c r="C3" s="39" t="str">
        <x:v>Тип</x:v>
      </x:c>
      <x:c r="D3" s="39" t="str">
        <x:v>L</x:v>
      </x:c>
      <x:c r="E3" s="39" t="str">
        <x:v>M</x:v>
      </x:c>
      <x:c r="F3" s="39" t="str">
        <x:v>U</x:v>
      </x:c>
      <x:c r="G3" s="39" t="str">
        <x:v>rL</x:v>
      </x:c>
      <x:c r="H3" s="39" t="str">
        <x:v>rM</x:v>
      </x:c>
      <x:c r="I3" s="39" t="str">
        <x:v>rU</x:v>
      </x:c>
      <x:c r="J3" s="39" t="str">
        <x:v>wL</x:v>
      </x:c>
      <x:c r="K3" s="39" t="str">
        <x:v>wM</x:v>
      </x:c>
      <x:c r="L3" s="39" t="str">
        <x:v>wU</x:v>
      </x:c>
      <x:c r="M3" s="39" t="str">
        <x:v>vL</x:v>
      </x:c>
      <x:c r="N3" s="39" t="str">
        <x:v>vM</x:v>
      </x:c>
      <x:c r="O3" s="39" t="str">
        <x:v>vU</x:v>
      </x:c>
      <x:c r="P3" s="39" t="str">
        <x:v>d+</x:v>
      </x:c>
      <x:c r="Q3" s="40" t="str">
        <x:v>d-</x:v>
      </x:c>
    </x:row>
    <x:row r="4">
      <x:c r="A4" s="64" t="str">
        <x:v>C1</x:v>
      </x:c>
      <x:c r="B4" s="60" t="str">
        <x:v>A1</x:v>
      </x:c>
      <x:c r="C4" s="60" t="str">
        <x:v>MAX</x:v>
      </x:c>
      <x:c r="D4" s="111" t="n">
        <x:f>'Оценки_альтернатив'!I4</x:f>
        <x:v>8</x:v>
      </x:c>
      <x:c r="E4" s="111" t="n">
        <x:f>'Оценки_альтернатив'!J4</x:f>
        <x:v>9</x:v>
      </x:c>
      <x:c r="F4" s="111" t="n">
        <x:f>'Оценки_альтернатив'!K4</x:f>
        <x:v>9</x:v>
      </x:c>
      <x:c r="G4" s="111" t="n">
        <x:f>D4/MAX($F$4:$F$7)</x:f>
        <x:v>0.8888888888888888</x:v>
      </x:c>
      <x:c r="H4" s="111" t="n">
        <x:f>E4/MAX($F$4:$F$7)</x:f>
        <x:v>1</x:v>
      </x:c>
      <x:c r="I4" s="111" t="n">
        <x:f>F4/MAX($F$4:$F$7)</x:f>
        <x:v>1</x:v>
      </x:c>
      <x:c r="J4" s="111" t="n">
        <x:f>'Оценки_критериев'!E10</x:f>
        <x:v>0.8</x:v>
      </x:c>
      <x:c r="K4" s="111" t="n">
        <x:f>'Оценки_критериев'!F10</x:f>
        <x:v>0.85</x:v>
      </x:c>
      <x:c r="L4" s="111" t="n">
        <x:f>'Оценки_критериев'!G10</x:f>
        <x:v>0.9</x:v>
      </x:c>
      <x:c r="M4" s="111" t="n">
        <x:f>G4*J4</x:f>
        <x:v>0.7111111111111111</x:v>
      </x:c>
      <x:c r="N4" s="111" t="n">
        <x:f>H4*K4</x:f>
        <x:v>0.85</x:v>
      </x:c>
      <x:c r="O4" s="111" t="n">
        <x:f>I4*L4</x:f>
        <x:v>0.9</x:v>
      </x:c>
      <x:c r="P4" s="111" t="n">
        <x:f>SQRT(((M4-1)^2+(N4-1)^2+(O4-1)^2)/3)</x:f>
        <x:v>0.19660178883846807</x:v>
      </x:c>
      <x:c r="Q4" s="112" t="n">
        <x:f>SQRT((M4^2+N4^2+O4^2)/3)</x:f>
        <x:v>0.8242529976379985</x:v>
      </x:c>
    </x:row>
    <x:row r="5">
      <x:c r="A5" s="64" t="str">
        <x:v>C1</x:v>
      </x:c>
      <x:c r="B5" s="60" t="str">
        <x:v>A2</x:v>
      </x:c>
      <x:c r="C5" s="60" t="str">
        <x:v>MAX</x:v>
      </x:c>
      <x:c r="D5" s="111" t="n">
        <x:f>'Оценки_альтернатив'!I5</x:f>
        <x:v>8</x:v>
      </x:c>
      <x:c r="E5" s="111" t="n">
        <x:f>'Оценки_альтернатив'!J5</x:f>
        <x:v>8.5</x:v>
      </x:c>
      <x:c r="F5" s="111" t="n">
        <x:f>'Оценки_альтернатив'!K5</x:f>
        <x:v>9</x:v>
      </x:c>
      <x:c r="G5" s="111" t="n">
        <x:f>D5/MAX($F$4:$F$7)</x:f>
        <x:v>0.8888888888888888</x:v>
      </x:c>
      <x:c r="H5" s="111" t="n">
        <x:f>E5/MAX($F$4:$F$7)</x:f>
        <x:v>0.9444444444444444</x:v>
      </x:c>
      <x:c r="I5" s="111" t="n">
        <x:f>F5/MAX($F$4:$F$7)</x:f>
        <x:v>1</x:v>
      </x:c>
      <x:c r="J5" s="111" t="n">
        <x:f>'Оценки_критериев'!E10</x:f>
        <x:v>0.8</x:v>
      </x:c>
      <x:c r="K5" s="111" t="n">
        <x:f>'Оценки_критериев'!F10</x:f>
        <x:v>0.85</x:v>
      </x:c>
      <x:c r="L5" s="111" t="n">
        <x:f>'Оценки_критериев'!G10</x:f>
        <x:v>0.9</x:v>
      </x:c>
      <x:c r="M5" s="111" t="n">
        <x:f>G5*J5</x:f>
        <x:v>0.7111111111111111</x:v>
      </x:c>
      <x:c r="N5" s="111" t="n">
        <x:f>H5*K5</x:f>
        <x:v>0.8027777777777777</x:v>
      </x:c>
      <x:c r="O5" s="111" t="n">
        <x:f>I5*L5</x:f>
        <x:v>0.9</x:v>
      </x:c>
      <x:c r="P5" s="111" t="n">
        <x:f>SQRT(((M5-1)^2+(N5-1)^2+(O5-1)^2)/3)</x:f>
        <x:v>0.21004237275823529</x:v>
      </x:c>
      <x:c r="Q5" s="112" t="n">
        <x:f>SQRT((M5^2+N5^2+O5^2)/3)</x:f>
        <x:v>0.8083174237965978</x:v>
      </x:c>
    </x:row>
    <x:row r="6">
      <x:c r="A6" s="64" t="str">
        <x:v>C1</x:v>
      </x:c>
      <x:c r="B6" s="60" t="str">
        <x:v>A3</x:v>
      </x:c>
      <x:c r="C6" s="60" t="str">
        <x:v>MAX</x:v>
      </x:c>
      <x:c r="D6" s="111" t="n">
        <x:f>'Оценки_альтернатив'!I6</x:f>
        <x:v>8</x:v>
      </x:c>
      <x:c r="E6" s="111" t="n">
        <x:f>'Оценки_альтернатив'!J6</x:f>
        <x:v>8</x:v>
      </x:c>
      <x:c r="F6" s="111" t="n">
        <x:f>'Оценки_альтернатив'!K6</x:f>
        <x:v>9</x:v>
      </x:c>
      <x:c r="G6" s="111" t="n">
        <x:f>D6/MAX($F$4:$F$7)</x:f>
        <x:v>0.8888888888888888</x:v>
      </x:c>
      <x:c r="H6" s="111" t="n">
        <x:f>E6/MAX($F$4:$F$7)</x:f>
        <x:v>0.8888888888888888</x:v>
      </x:c>
      <x:c r="I6" s="111" t="n">
        <x:f>F6/MAX($F$4:$F$7)</x:f>
        <x:v>1</x:v>
      </x:c>
      <x:c r="J6" s="111" t="n">
        <x:f>'Оценки_критериев'!E10</x:f>
        <x:v>0.8</x:v>
      </x:c>
      <x:c r="K6" s="111" t="n">
        <x:f>'Оценки_критериев'!F10</x:f>
        <x:v>0.85</x:v>
      </x:c>
      <x:c r="L6" s="111" t="n">
        <x:f>'Оценки_критериев'!G10</x:f>
        <x:v>0.9</x:v>
      </x:c>
      <x:c r="M6" s="111" t="n">
        <x:f>G6*J6</x:f>
        <x:v>0.7111111111111111</x:v>
      </x:c>
      <x:c r="N6" s="111" t="n">
        <x:f>H6*K6</x:f>
        <x:v>0.7555555555555555</x:v>
      </x:c>
      <x:c r="O6" s="111" t="n">
        <x:f>I6*L6</x:f>
        <x:v>0.9</x:v>
      </x:c>
      <x:c r="P6" s="111" t="n">
        <x:f>SQRT(((M6-1)^2+(N6-1)^2+(O6-1)^2)/3)</x:f>
        <x:v>0.2259866342236563</x:v>
      </x:c>
      <x:c r="Q6" s="112" t="n">
        <x:f>SQRT((M6^2+N6^2+O6^2)/3)</x:f>
        <x:v>0.7929992034204791</x:v>
      </x:c>
    </x:row>
    <x:row r="7">
      <x:c r="A7" s="64" t="str">
        <x:v>C1</x:v>
      </x:c>
      <x:c r="B7" s="60" t="str">
        <x:v>A4</x:v>
      </x:c>
      <x:c r="C7" s="60" t="str">
        <x:v>MAX</x:v>
      </x:c>
      <x:c r="D7" s="111" t="n">
        <x:f>'Оценки_альтернатив'!I7</x:f>
        <x:v>7</x:v>
      </x:c>
      <x:c r="E7" s="111" t="n">
        <x:f>'Оценки_альтернатив'!J7</x:f>
        <x:v>8</x:v>
      </x:c>
      <x:c r="F7" s="111" t="n">
        <x:f>'Оценки_альтернатив'!K7</x:f>
        <x:v>8</x:v>
      </x:c>
      <x:c r="G7" s="111" t="n">
        <x:f>D7/MAX($F$4:$F$7)</x:f>
        <x:v>0.7777777777777778</x:v>
      </x:c>
      <x:c r="H7" s="111" t="n">
        <x:f>E7/MAX($F$4:$F$7)</x:f>
        <x:v>0.8888888888888888</x:v>
      </x:c>
      <x:c r="I7" s="111" t="n">
        <x:f>F7/MAX($F$4:$F$7)</x:f>
        <x:v>0.8888888888888888</x:v>
      </x:c>
      <x:c r="J7" s="111" t="n">
        <x:f>'Оценки_критериев'!E10</x:f>
        <x:v>0.8</x:v>
      </x:c>
      <x:c r="K7" s="111" t="n">
        <x:f>'Оценки_критериев'!F10</x:f>
        <x:v>0.85</x:v>
      </x:c>
      <x:c r="L7" s="111" t="n">
        <x:f>'Оценки_критериев'!G10</x:f>
        <x:v>0.9</x:v>
      </x:c>
      <x:c r="M7" s="111" t="n">
        <x:f>G7*J7</x:f>
        <x:v>0.6222222222222222</x:v>
      </x:c>
      <x:c r="N7" s="111" t="n">
        <x:f>H7*K7</x:f>
        <x:v>0.7555555555555555</x:v>
      </x:c>
      <x:c r="O7" s="111" t="n">
        <x:f>I7*L7</x:f>
        <x:v>0.7999999999999999</x:v>
      </x:c>
      <x:c r="P7" s="111" t="n">
        <x:f>SQRT(((M7-1)^2+(N7-1)^2+(O7-1)^2)/3)</x:f>
        <x:v>0.28429394166511834</x:v>
      </x:c>
      <x:c r="Q7" s="112" t="n">
        <x:f>SQRT((M7^2+N7^2+O7^2)/3)</x:f>
        <x:v>0.7298458036594726</x:v>
      </x:c>
    </x:row>
    <x:row r="8">
      <x:c r="A8" s="64" t="str">
        <x:v>C2</x:v>
      </x:c>
      <x:c r="B8" s="60" t="str">
        <x:v>A1</x:v>
      </x:c>
      <x:c r="C8" s="60" t="str">
        <x:v>MAX</x:v>
      </x:c>
      <x:c r="D8" s="111" t="n">
        <x:f>'Оценки_альтернатив'!I8</x:f>
        <x:v>8</x:v>
      </x:c>
      <x:c r="E8" s="111" t="n">
        <x:f>'Оценки_альтернатив'!J8</x:f>
        <x:v>8.5</x:v>
      </x:c>
      <x:c r="F8" s="111" t="n">
        <x:f>'Оценки_альтернатив'!K8</x:f>
        <x:v>9</x:v>
      </x:c>
      <x:c r="G8" s="111" t="n">
        <x:f>D8/MAX($F$8:$F$11)</x:f>
        <x:v>0.8888888888888888</x:v>
      </x:c>
      <x:c r="H8" s="111" t="n">
        <x:f>E8/MAX($F$8:$F$11)</x:f>
        <x:v>0.9444444444444444</x:v>
      </x:c>
      <x:c r="I8" s="111" t="n">
        <x:f>F8/MAX($F$8:$F$11)</x:f>
        <x:v>1</x:v>
      </x:c>
      <x:c r="J8" s="111" t="n">
        <x:f>'Оценки_критериев'!E11</x:f>
        <x:v>0.7</x:v>
      </x:c>
      <x:c r="K8" s="111" t="n">
        <x:f>'Оценки_критериев'!F11</x:f>
        <x:v>0.8</x:v>
      </x:c>
      <x:c r="L8" s="111" t="n">
        <x:f>'Оценки_критериев'!G11</x:f>
        <x:v>0.8</x:v>
      </x:c>
      <x:c r="M8" s="111" t="n">
        <x:f>G8*J8</x:f>
        <x:v>0.6222222222222221</x:v>
      </x:c>
      <x:c r="N8" s="111" t="n">
        <x:f>H8*K8</x:f>
        <x:v>0.7555555555555555</x:v>
      </x:c>
      <x:c r="O8" s="111" t="n">
        <x:f>I8*L8</x:f>
        <x:v>0.8</x:v>
      </x:c>
      <x:c r="P8" s="111" t="n">
        <x:f>SQRT(((M8-1)^2+(N8-1)^2+(O8-1)^2)/3)</x:f>
        <x:v>0.2842939416651184</x:v>
      </x:c>
      <x:c r="Q8" s="112" t="n">
        <x:f>SQRT((M8^2+N8^2+O8^2)/3)</x:f>
        <x:v>0.7298458036594727</x:v>
      </x:c>
    </x:row>
    <x:row r="9">
      <x:c r="A9" s="64" t="str">
        <x:v>C2</x:v>
      </x:c>
      <x:c r="B9" s="60" t="str">
        <x:v>A2</x:v>
      </x:c>
      <x:c r="C9" s="60" t="str">
        <x:v>MAX</x:v>
      </x:c>
      <x:c r="D9" s="111" t="n">
        <x:f>'Оценки_альтернатив'!I9</x:f>
        <x:v>8</x:v>
      </x:c>
      <x:c r="E9" s="111" t="n">
        <x:f>'Оценки_альтернатив'!J9</x:f>
        <x:v>9</x:v>
      </x:c>
      <x:c r="F9" s="111" t="n">
        <x:f>'Оценки_альтернатив'!K9</x:f>
        <x:v>9</x:v>
      </x:c>
      <x:c r="G9" s="111" t="n">
        <x:f>D9/MAX($F$8:$F$11)</x:f>
        <x:v>0.8888888888888888</x:v>
      </x:c>
      <x:c r="H9" s="111" t="n">
        <x:f>E9/MAX($F$8:$F$11)</x:f>
        <x:v>1</x:v>
      </x:c>
      <x:c r="I9" s="111" t="n">
        <x:f>F9/MAX($F$8:$F$11)</x:f>
        <x:v>1</x:v>
      </x:c>
      <x:c r="J9" s="111" t="n">
        <x:f>'Оценки_критериев'!E11</x:f>
        <x:v>0.7</x:v>
      </x:c>
      <x:c r="K9" s="111" t="n">
        <x:f>'Оценки_критериев'!F11</x:f>
        <x:v>0.8</x:v>
      </x:c>
      <x:c r="L9" s="111" t="n">
        <x:f>'Оценки_критериев'!G11</x:f>
        <x:v>0.8</x:v>
      </x:c>
      <x:c r="M9" s="111" t="n">
        <x:f>G9*J9</x:f>
        <x:v>0.6222222222222221</x:v>
      </x:c>
      <x:c r="N9" s="111" t="n">
        <x:f>H9*K9</x:f>
        <x:v>0.8</x:v>
      </x:c>
      <x:c r="O9" s="111" t="n">
        <x:f>I9*L9</x:f>
        <x:v>0.8</x:v>
      </x:c>
      <x:c r="P9" s="111" t="n">
        <x:f>SQRT(((M9-1)^2+(N9-1)^2+(O9-1)^2)/3)</x:f>
        <x:v>0.2724677652999929</x:v>
      </x:c>
      <x:c r="Q9" s="112" t="n">
        <x:f>SQRT((M9^2+N9^2+O9^2)/3)</x:f>
        <x:v>0.7454664074316519</x:v>
      </x:c>
    </x:row>
    <x:row r="10">
      <x:c r="A10" s="64" t="str">
        <x:v>C2</x:v>
      </x:c>
      <x:c r="B10" s="60" t="str">
        <x:v>A3</x:v>
      </x:c>
      <x:c r="C10" s="60" t="str">
        <x:v>MAX</x:v>
      </x:c>
      <x:c r="D10" s="111" t="n">
        <x:f>'Оценки_альтернатив'!I10</x:f>
        <x:v>7</x:v>
      </x:c>
      <x:c r="E10" s="111" t="n">
        <x:f>'Оценки_альтернатив'!J10</x:f>
        <x:v>8</x:v>
      </x:c>
      <x:c r="F10" s="111" t="n">
        <x:f>'Оценки_альтернатив'!K10</x:f>
        <x:v>8</x:v>
      </x:c>
      <x:c r="G10" s="111" t="n">
        <x:f>D10/MAX($F$8:$F$11)</x:f>
        <x:v>0.7777777777777778</x:v>
      </x:c>
      <x:c r="H10" s="111" t="n">
        <x:f>E10/MAX($F$8:$F$11)</x:f>
        <x:v>0.8888888888888888</x:v>
      </x:c>
      <x:c r="I10" s="111" t="n">
        <x:f>F10/MAX($F$8:$F$11)</x:f>
        <x:v>0.8888888888888888</x:v>
      </x:c>
      <x:c r="J10" s="111" t="n">
        <x:f>'Оценки_критериев'!E11</x:f>
        <x:v>0.7</x:v>
      </x:c>
      <x:c r="K10" s="111" t="n">
        <x:f>'Оценки_критериев'!F11</x:f>
        <x:v>0.8</x:v>
      </x:c>
      <x:c r="L10" s="111" t="n">
        <x:f>'Оценки_критериев'!G11</x:f>
        <x:v>0.8</x:v>
      </x:c>
      <x:c r="M10" s="111" t="n">
        <x:f>G10*J10</x:f>
        <x:v>0.5444444444444444</x:v>
      </x:c>
      <x:c r="N10" s="111" t="n">
        <x:f>H10*K10</x:f>
        <x:v>0.7111111111111111</x:v>
      </x:c>
      <x:c r="O10" s="111" t="n">
        <x:f>I10*L10</x:f>
        <x:v>0.7111111111111111</x:v>
      </x:c>
      <x:c r="P10" s="111" t="n">
        <x:f>SQRT(((M10-1)^2+(N10-1)^2+(O10-1)^2)/3)</x:f>
        <x:v>0.35329140212410326</x:v>
      </x:c>
      <x:c r="Q10" s="112" t="n">
        <x:f>SQRT((M10^2+N10^2+O10^2)/3)</x:f>
        <x:v>0.6602468674109148</x:v>
      </x:c>
    </x:row>
    <x:row r="11">
      <x:c r="A11" s="64" t="str">
        <x:v>C2</x:v>
      </x:c>
      <x:c r="B11" s="60" t="str">
        <x:v>A4</x:v>
      </x:c>
      <x:c r="C11" s="60" t="str">
        <x:v>MAX</x:v>
      </x:c>
      <x:c r="D11" s="111" t="n">
        <x:f>'Оценки_альтернатив'!I11</x:f>
        <x:v>7</x:v>
      </x:c>
      <x:c r="E11" s="111" t="n">
        <x:f>'Оценки_альтернатив'!J11</x:f>
        <x:v>8</x:v>
      </x:c>
      <x:c r="F11" s="111" t="n">
        <x:f>'Оценки_альтернатив'!K11</x:f>
        <x:v>8</x:v>
      </x:c>
      <x:c r="G11" s="111" t="n">
        <x:f>D11/MAX($F$8:$F$11)</x:f>
        <x:v>0.7777777777777778</x:v>
      </x:c>
      <x:c r="H11" s="111" t="n">
        <x:f>E11/MAX($F$8:$F$11)</x:f>
        <x:v>0.8888888888888888</x:v>
      </x:c>
      <x:c r="I11" s="111" t="n">
        <x:f>F11/MAX($F$8:$F$11)</x:f>
        <x:v>0.8888888888888888</x:v>
      </x:c>
      <x:c r="J11" s="111" t="n">
        <x:f>'Оценки_критериев'!E11</x:f>
        <x:v>0.7</x:v>
      </x:c>
      <x:c r="K11" s="111" t="n">
        <x:f>'Оценки_критериев'!F11</x:f>
        <x:v>0.8</x:v>
      </x:c>
      <x:c r="L11" s="111" t="n">
        <x:f>'Оценки_критериев'!G11</x:f>
        <x:v>0.8</x:v>
      </x:c>
      <x:c r="M11" s="111" t="n">
        <x:f>G11*J11</x:f>
        <x:v>0.5444444444444444</x:v>
      </x:c>
      <x:c r="N11" s="111" t="n">
        <x:f>H11*K11</x:f>
        <x:v>0.7111111111111111</x:v>
      </x:c>
      <x:c r="O11" s="111" t="n">
        <x:f>I11*L11</x:f>
        <x:v>0.7111111111111111</x:v>
      </x:c>
      <x:c r="P11" s="111" t="n">
        <x:f>SQRT(((M11-1)^2+(N11-1)^2+(O11-1)^2)/3)</x:f>
        <x:v>0.35329140212410326</x:v>
      </x:c>
      <x:c r="Q11" s="112" t="n">
        <x:f>SQRT((M11^2+N11^2+O11^2)/3)</x:f>
        <x:v>0.6602468674109148</x:v>
      </x:c>
    </x:row>
    <x:row r="12">
      <x:c r="A12" s="64" t="str">
        <x:v>C3</x:v>
      </x:c>
      <x:c r="B12" s="60" t="str">
        <x:v>A1</x:v>
      </x:c>
      <x:c r="C12" s="60" t="str">
        <x:v>MAX</x:v>
      </x:c>
      <x:c r="D12" s="111" t="n">
        <x:f>'Оценки_альтернатив'!I12</x:f>
        <x:v>8</x:v>
      </x:c>
      <x:c r="E12" s="111" t="n">
        <x:f>'Оценки_альтернатив'!J12</x:f>
        <x:v>9</x:v>
      </x:c>
      <x:c r="F12" s="111" t="n">
        <x:f>'Оценки_альтернатив'!K12</x:f>
        <x:v>9</x:v>
      </x:c>
      <x:c r="G12" s="111" t="n">
        <x:f>D12/MAX($F$12:$F$15)</x:f>
        <x:v>0.8888888888888888</x:v>
      </x:c>
      <x:c r="H12" s="111" t="n">
        <x:f>E12/MAX($F$12:$F$15)</x:f>
        <x:v>1</x:v>
      </x:c>
      <x:c r="I12" s="111" t="n">
        <x:f>F12/MAX($F$12:$F$15)</x:f>
        <x:v>1</x:v>
      </x:c>
      <x:c r="J12" s="111" t="n">
        <x:f>'Оценки_критериев'!E12</x:f>
        <x:v>0.8</x:v>
      </x:c>
      <x:c r="K12" s="111" t="n">
        <x:f>'Оценки_критериев'!F12</x:f>
        <x:v>0.85</x:v>
      </x:c>
      <x:c r="L12" s="111" t="n">
        <x:f>'Оценки_критериев'!G12</x:f>
        <x:v>0.9</x:v>
      </x:c>
      <x:c r="M12" s="111" t="n">
        <x:f>G12*J12</x:f>
        <x:v>0.7111111111111111</x:v>
      </x:c>
      <x:c r="N12" s="111" t="n">
        <x:f>H12*K12</x:f>
        <x:v>0.85</x:v>
      </x:c>
      <x:c r="O12" s="111" t="n">
        <x:f>I12*L12</x:f>
        <x:v>0.9</x:v>
      </x:c>
      <x:c r="P12" s="111" t="n">
        <x:f>SQRT(((M12-1)^2+(N12-1)^2+(O12-1)^2)/3)</x:f>
        <x:v>0.19660178883846807</x:v>
      </x:c>
      <x:c r="Q12" s="112" t="n">
        <x:f>SQRT((M12^2+N12^2+O12^2)/3)</x:f>
        <x:v>0.8242529976379985</x:v>
      </x:c>
    </x:row>
    <x:row r="13">
      <x:c r="A13" s="64" t="str">
        <x:v>C3</x:v>
      </x:c>
      <x:c r="B13" s="60" t="str">
        <x:v>A2</x:v>
      </x:c>
      <x:c r="C13" s="60" t="str">
        <x:v>MAX</x:v>
      </x:c>
      <x:c r="D13" s="111" t="n">
        <x:f>'Оценки_альтернатив'!I13</x:f>
        <x:v>8</x:v>
      </x:c>
      <x:c r="E13" s="111" t="n">
        <x:f>'Оценки_альтернатив'!J13</x:f>
        <x:v>9</x:v>
      </x:c>
      <x:c r="F13" s="111" t="n">
        <x:f>'Оценки_альтернатив'!K13</x:f>
        <x:v>9</x:v>
      </x:c>
      <x:c r="G13" s="111" t="n">
        <x:f>D13/MAX($F$12:$F$15)</x:f>
        <x:v>0.8888888888888888</x:v>
      </x:c>
      <x:c r="H13" s="111" t="n">
        <x:f>E13/MAX($F$12:$F$15)</x:f>
        <x:v>1</x:v>
      </x:c>
      <x:c r="I13" s="111" t="n">
        <x:f>F13/MAX($F$12:$F$15)</x:f>
        <x:v>1</x:v>
      </x:c>
      <x:c r="J13" s="111" t="n">
        <x:f>'Оценки_критериев'!E12</x:f>
        <x:v>0.8</x:v>
      </x:c>
      <x:c r="K13" s="111" t="n">
        <x:f>'Оценки_критериев'!F12</x:f>
        <x:v>0.85</x:v>
      </x:c>
      <x:c r="L13" s="111" t="n">
        <x:f>'Оценки_критериев'!G12</x:f>
        <x:v>0.9</x:v>
      </x:c>
      <x:c r="M13" s="111" t="n">
        <x:f>G13*J13</x:f>
        <x:v>0.7111111111111111</x:v>
      </x:c>
      <x:c r="N13" s="111" t="n">
        <x:f>H13*K13</x:f>
        <x:v>0.85</x:v>
      </x:c>
      <x:c r="O13" s="111" t="n">
        <x:f>I13*L13</x:f>
        <x:v>0.9</x:v>
      </x:c>
      <x:c r="P13" s="111" t="n">
        <x:f>SQRT(((M13-1)^2+(N13-1)^2+(O13-1)^2)/3)</x:f>
        <x:v>0.19660178883846807</x:v>
      </x:c>
      <x:c r="Q13" s="112" t="n">
        <x:f>SQRT((M13^2+N13^2+O13^2)/3)</x:f>
        <x:v>0.8242529976379985</x:v>
      </x:c>
    </x:row>
    <x:row r="14">
      <x:c r="A14" s="64" t="str">
        <x:v>C3</x:v>
      </x:c>
      <x:c r="B14" s="60" t="str">
        <x:v>A3</x:v>
      </x:c>
      <x:c r="C14" s="60" t="str">
        <x:v>MAX</x:v>
      </x:c>
      <x:c r="D14" s="111" t="n">
        <x:f>'Оценки_альтернатив'!I14</x:f>
        <x:v>8</x:v>
      </x:c>
      <x:c r="E14" s="111" t="n">
        <x:f>'Оценки_альтернатив'!J14</x:f>
        <x:v>8</x:v>
      </x:c>
      <x:c r="F14" s="111" t="n">
        <x:f>'Оценки_альтернатив'!K14</x:f>
        <x:v>9</x:v>
      </x:c>
      <x:c r="G14" s="111" t="n">
        <x:f>D14/MAX($F$12:$F$15)</x:f>
        <x:v>0.8888888888888888</x:v>
      </x:c>
      <x:c r="H14" s="111" t="n">
        <x:f>E14/MAX($F$12:$F$15)</x:f>
        <x:v>0.8888888888888888</x:v>
      </x:c>
      <x:c r="I14" s="111" t="n">
        <x:f>F14/MAX($F$12:$F$15)</x:f>
        <x:v>1</x:v>
      </x:c>
      <x:c r="J14" s="111" t="n">
        <x:f>'Оценки_критериев'!E12</x:f>
        <x:v>0.8</x:v>
      </x:c>
      <x:c r="K14" s="111" t="n">
        <x:f>'Оценки_критериев'!F12</x:f>
        <x:v>0.85</x:v>
      </x:c>
      <x:c r="L14" s="111" t="n">
        <x:f>'Оценки_критериев'!G12</x:f>
        <x:v>0.9</x:v>
      </x:c>
      <x:c r="M14" s="111" t="n">
        <x:f>G14*J14</x:f>
        <x:v>0.7111111111111111</x:v>
      </x:c>
      <x:c r="N14" s="111" t="n">
        <x:f>H14*K14</x:f>
        <x:v>0.7555555555555555</x:v>
      </x:c>
      <x:c r="O14" s="111" t="n">
        <x:f>I14*L14</x:f>
        <x:v>0.9</x:v>
      </x:c>
      <x:c r="P14" s="111" t="n">
        <x:f>SQRT(((M14-1)^2+(N14-1)^2+(O14-1)^2)/3)</x:f>
        <x:v>0.2259866342236563</x:v>
      </x:c>
      <x:c r="Q14" s="112" t="n">
        <x:f>SQRT((M14^2+N14^2+O14^2)/3)</x:f>
        <x:v>0.7929992034204791</x:v>
      </x:c>
    </x:row>
    <x:row r="15">
      <x:c r="A15" s="64" t="str">
        <x:v>C3</x:v>
      </x:c>
      <x:c r="B15" s="60" t="str">
        <x:v>A4</x:v>
      </x:c>
      <x:c r="C15" s="60" t="str">
        <x:v>MAX</x:v>
      </x:c>
      <x:c r="D15" s="111" t="n">
        <x:f>'Оценки_альтернатив'!I15</x:f>
        <x:v>8</x:v>
      </x:c>
      <x:c r="E15" s="111" t="n">
        <x:f>'Оценки_альтернатив'!J15</x:f>
        <x:v>8</x:v>
      </x:c>
      <x:c r="F15" s="111" t="n">
        <x:f>'Оценки_альтернатив'!K15</x:f>
        <x:v>9</x:v>
      </x:c>
      <x:c r="G15" s="111" t="n">
        <x:f>D15/MAX($F$12:$F$15)</x:f>
        <x:v>0.8888888888888888</x:v>
      </x:c>
      <x:c r="H15" s="111" t="n">
        <x:f>E15/MAX($F$12:$F$15)</x:f>
        <x:v>0.8888888888888888</x:v>
      </x:c>
      <x:c r="I15" s="111" t="n">
        <x:f>F15/MAX($F$12:$F$15)</x:f>
        <x:v>1</x:v>
      </x:c>
      <x:c r="J15" s="111" t="n">
        <x:f>'Оценки_критериев'!E12</x:f>
        <x:v>0.8</x:v>
      </x:c>
      <x:c r="K15" s="111" t="n">
        <x:f>'Оценки_критериев'!F12</x:f>
        <x:v>0.85</x:v>
      </x:c>
      <x:c r="L15" s="111" t="n">
        <x:f>'Оценки_критериев'!G12</x:f>
        <x:v>0.9</x:v>
      </x:c>
      <x:c r="M15" s="111" t="n">
        <x:f>G15*J15</x:f>
        <x:v>0.7111111111111111</x:v>
      </x:c>
      <x:c r="N15" s="111" t="n">
        <x:f>H15*K15</x:f>
        <x:v>0.7555555555555555</x:v>
      </x:c>
      <x:c r="O15" s="111" t="n">
        <x:f>I15*L15</x:f>
        <x:v>0.9</x:v>
      </x:c>
      <x:c r="P15" s="111" t="n">
        <x:f>SQRT(((M15-1)^2+(N15-1)^2+(O15-1)^2)/3)</x:f>
        <x:v>0.2259866342236563</x:v>
      </x:c>
      <x:c r="Q15" s="112" t="n">
        <x:f>SQRT((M15^2+N15^2+O15^2)/3)</x:f>
        <x:v>0.7929992034204791</x:v>
      </x:c>
    </x:row>
    <x:row r="16">
      <x:c r="A16" s="64" t="str">
        <x:v>C4</x:v>
      </x:c>
      <x:c r="B16" s="60" t="str">
        <x:v>A1</x:v>
      </x:c>
      <x:c r="C16" s="60" t="str">
        <x:v>MIN</x:v>
      </x:c>
      <x:c r="D16" s="111" t="n">
        <x:f>'Оценки_альтернатив'!I16</x:f>
        <x:v>6</x:v>
      </x:c>
      <x:c r="E16" s="111" t="n">
        <x:f>'Оценки_альтернатив'!J16</x:f>
        <x:v>6</x:v>
      </x:c>
      <x:c r="F16" s="111" t="n">
        <x:f>'Оценки_альтернатив'!K16</x:f>
        <x:v>7</x:v>
      </x:c>
      <x:c r="G16" s="111" t="n">
        <x:f>MIN($D$16:$D$19)/F16</x:f>
        <x:v>0.7142857142857143</x:v>
      </x:c>
      <x:c r="H16" s="111" t="n">
        <x:f>MIN($D$16:$D$19)/E16</x:f>
        <x:v>0.8333333333333334</x:v>
      </x:c>
      <x:c r="I16" s="111" t="n">
        <x:f>MIN($D$16:$D$19)/D16</x:f>
        <x:v>0.8333333333333334</x:v>
      </x:c>
      <x:c r="J16" s="111" t="n">
        <x:f>'Оценки_критериев'!E13</x:f>
        <x:v>0.7</x:v>
      </x:c>
      <x:c r="K16" s="111" t="n">
        <x:f>'Оценки_критериев'!F13</x:f>
        <x:v>0.7</x:v>
      </x:c>
      <x:c r="L16" s="111" t="n">
        <x:f>'Оценки_критериев'!G13</x:f>
        <x:v>0.8</x:v>
      </x:c>
      <x:c r="M16" s="111" t="n">
        <x:f>G16*J16</x:f>
        <x:v>0.5</x:v>
      </x:c>
      <x:c r="N16" s="111" t="n">
        <x:f>H16*K16</x:f>
        <x:v>0.5833333333333334</x:v>
      </x:c>
      <x:c r="O16" s="111" t="n">
        <x:f>I16*L16</x:f>
        <x:v>0.6666666666666667</x:v>
      </x:c>
      <x:c r="P16" s="111" t="n">
        <x:f>SQRT(((M16-1)^2+(N16-1)^2+(O16-1)^2)/3)</x:f>
        <x:v>0.4221856709325184</x:v>
      </x:c>
      <x:c r="Q16" s="112" t="n">
        <x:f>SQRT((M16^2+N16^2+O16^2)/3)</x:f>
        <x:v>0.587288180885166</x:v>
      </x:c>
    </x:row>
    <x:row r="17">
      <x:c r="A17" s="64" t="str">
        <x:v>C4</x:v>
      </x:c>
      <x:c r="B17" s="60" t="str">
        <x:v>A2</x:v>
      </x:c>
      <x:c r="C17" s="60" t="str">
        <x:v>MIN</x:v>
      </x:c>
      <x:c r="D17" s="111" t="n">
        <x:f>'Оценки_альтернатив'!I17</x:f>
        <x:v>6</x:v>
      </x:c>
      <x:c r="E17" s="111" t="n">
        <x:f>'Оценки_альтернатив'!J17</x:f>
        <x:v>7</x:v>
      </x:c>
      <x:c r="F17" s="111" t="n">
        <x:f>'Оценки_альтернатив'!K17</x:f>
        <x:v>7</x:v>
      </x:c>
      <x:c r="G17" s="111" t="n">
        <x:f>MIN($D$16:$D$19)/F17</x:f>
        <x:v>0.7142857142857143</x:v>
      </x:c>
      <x:c r="H17" s="111" t="n">
        <x:f>MIN($D$16:$D$19)/E17</x:f>
        <x:v>0.7142857142857143</x:v>
      </x:c>
      <x:c r="I17" s="111" t="n">
        <x:f>MIN($D$16:$D$19)/D17</x:f>
        <x:v>0.8333333333333334</x:v>
      </x:c>
      <x:c r="J17" s="111" t="n">
        <x:f>'Оценки_критериев'!E13</x:f>
        <x:v>0.7</x:v>
      </x:c>
      <x:c r="K17" s="111" t="n">
        <x:f>'Оценки_критериев'!F13</x:f>
        <x:v>0.7</x:v>
      </x:c>
      <x:c r="L17" s="111" t="n">
        <x:f>'Оценки_критериев'!G13</x:f>
        <x:v>0.8</x:v>
      </x:c>
      <x:c r="M17" s="111" t="n">
        <x:f>G17*J17</x:f>
        <x:v>0.5</x:v>
      </x:c>
      <x:c r="N17" s="111" t="n">
        <x:f>H17*K17</x:f>
        <x:v>0.5</x:v>
      </x:c>
      <x:c r="O17" s="111" t="n">
        <x:f>I17*L17</x:f>
        <x:v>0.6666666666666667</x:v>
      </x:c>
      <x:c r="P17" s="111" t="n">
        <x:f>SQRT(((M17-1)^2+(N17-1)^2+(O17-1)^2)/3)</x:f>
        <x:v>0.45133546692422</x:v>
      </x:c>
      <x:c r="Q17" s="112" t="n">
        <x:f>SQRT((M17^2+N17^2+O17^2)/3)</x:f>
        <x:v>0.5610836076867821</x:v>
      </x:c>
    </x:row>
    <x:row r="18">
      <x:c r="A18" s="64" t="str">
        <x:v>C4</x:v>
      </x:c>
      <x:c r="B18" s="60" t="str">
        <x:v>A3</x:v>
      </x:c>
      <x:c r="C18" s="60" t="str">
        <x:v>MIN</x:v>
      </x:c>
      <x:c r="D18" s="111" t="n">
        <x:f>'Оценки_альтернатив'!I18</x:f>
        <x:v>5</x:v>
      </x:c>
      <x:c r="E18" s="111" t="n">
        <x:f>'Оценки_альтернатив'!J18</x:f>
        <x:v>5</x:v>
      </x:c>
      <x:c r="F18" s="111" t="n">
        <x:f>'Оценки_альтернатив'!K18</x:f>
        <x:v>6</x:v>
      </x:c>
      <x:c r="G18" s="111" t="n">
        <x:f>MIN($D$16:$D$19)/F18</x:f>
        <x:v>0.8333333333333334</x:v>
      </x:c>
      <x:c r="H18" s="111" t="n">
        <x:f>MIN($D$16:$D$19)/E18</x:f>
        <x:v>1</x:v>
      </x:c>
      <x:c r="I18" s="111" t="n">
        <x:f>MIN($D$16:$D$19)/D18</x:f>
        <x:v>1</x:v>
      </x:c>
      <x:c r="J18" s="111" t="n">
        <x:f>'Оценки_критериев'!E13</x:f>
        <x:v>0.7</x:v>
      </x:c>
      <x:c r="K18" s="111" t="n">
        <x:f>'Оценки_критериев'!F13</x:f>
        <x:v>0.7</x:v>
      </x:c>
      <x:c r="L18" s="111" t="n">
        <x:f>'Оценки_критериев'!G13</x:f>
        <x:v>0.8</x:v>
      </x:c>
      <x:c r="M18" s="111" t="n">
        <x:f>G18*J18</x:f>
        <x:v>0.5833333333333334</x:v>
      </x:c>
      <x:c r="N18" s="111" t="n">
        <x:f>H18*K18</x:f>
        <x:v>0.7</x:v>
      </x:c>
      <x:c r="O18" s="111" t="n">
        <x:f>I18*L18</x:f>
        <x:v>0.8</x:v>
      </x:c>
      <x:c r="P18" s="111" t="n">
        <x:f>SQRT(((M18-1)^2+(N18-1)^2+(O18-1)^2)/3)</x:f>
        <x:v>0.31812529560489794</x:v>
      </x:c>
      <x:c r="Q18" s="112" t="n">
        <x:f>SQRT((M18^2+N18^2+O18^2)/3)</x:f>
        <x:v>0.7000661344420201</x:v>
      </x:c>
    </x:row>
    <x:row r="19">
      <x:c r="A19" s="64" t="str">
        <x:v>C4</x:v>
      </x:c>
      <x:c r="B19" s="60" t="str">
        <x:v>A4</x:v>
      </x:c>
      <x:c r="C19" s="60" t="str">
        <x:v>MIN</x:v>
      </x:c>
      <x:c r="D19" s="111" t="n">
        <x:f>'Оценки_альтернатив'!I19</x:f>
        <x:v>5</x:v>
      </x:c>
      <x:c r="E19" s="111" t="n">
        <x:f>'Оценки_альтернатив'!J19</x:f>
        <x:v>5</x:v>
      </x:c>
      <x:c r="F19" s="111" t="n">
        <x:f>'Оценки_альтернатив'!K19</x:f>
        <x:v>6</x:v>
      </x:c>
      <x:c r="G19" s="111" t="n">
        <x:f>MIN($D$16:$D$19)/F19</x:f>
        <x:v>0.8333333333333334</x:v>
      </x:c>
      <x:c r="H19" s="111" t="n">
        <x:f>MIN($D$16:$D$19)/E19</x:f>
        <x:v>1</x:v>
      </x:c>
      <x:c r="I19" s="111" t="n">
        <x:f>MIN($D$16:$D$19)/D19</x:f>
        <x:v>1</x:v>
      </x:c>
      <x:c r="J19" s="111" t="n">
        <x:f>'Оценки_критериев'!E13</x:f>
        <x:v>0.7</x:v>
      </x:c>
      <x:c r="K19" s="111" t="n">
        <x:f>'Оценки_критериев'!F13</x:f>
        <x:v>0.7</x:v>
      </x:c>
      <x:c r="L19" s="111" t="n">
        <x:f>'Оценки_критериев'!G13</x:f>
        <x:v>0.8</x:v>
      </x:c>
      <x:c r="M19" s="111" t="n">
        <x:f>G19*J19</x:f>
        <x:v>0.5833333333333334</x:v>
      </x:c>
      <x:c r="N19" s="111" t="n">
        <x:f>H19*K19</x:f>
        <x:v>0.7</x:v>
      </x:c>
      <x:c r="O19" s="111" t="n">
        <x:f>I19*L19</x:f>
        <x:v>0.8</x:v>
      </x:c>
      <x:c r="P19" s="111" t="n">
        <x:f>SQRT(((M19-1)^2+(N19-1)^2+(O19-1)^2)/3)</x:f>
        <x:v>0.31812529560489794</x:v>
      </x:c>
      <x:c r="Q19" s="112" t="n">
        <x:f>SQRT((M19^2+N19^2+O19^2)/3)</x:f>
        <x:v>0.7000661344420201</x:v>
      </x:c>
    </x:row>
    <x:row r="20">
      <x:c r="A20" s="64" t="str">
        <x:v>C5</x:v>
      </x:c>
      <x:c r="B20" s="60" t="str">
        <x:v>A1</x:v>
      </x:c>
      <x:c r="C20" s="60" t="str">
        <x:v>MAX</x:v>
      </x:c>
      <x:c r="D20" s="111" t="n">
        <x:f>'Оценки_альтернатив'!I20</x:f>
        <x:v>8</x:v>
      </x:c>
      <x:c r="E20" s="111" t="n">
        <x:f>'Оценки_альтернатив'!J20</x:f>
        <x:v>9</x:v>
      </x:c>
      <x:c r="F20" s="111" t="n">
        <x:f>'Оценки_альтернатив'!K20</x:f>
        <x:v>9</x:v>
      </x:c>
      <x:c r="G20" s="111" t="n">
        <x:f>D20/MAX($F$20:$F$23)</x:f>
        <x:v>0.8888888888888888</x:v>
      </x:c>
      <x:c r="H20" s="111" t="n">
        <x:f>E20/MAX($F$20:$F$23)</x:f>
        <x:v>1</x:v>
      </x:c>
      <x:c r="I20" s="111" t="n">
        <x:f>F20/MAX($F$20:$F$23)</x:f>
        <x:v>1</x:v>
      </x:c>
      <x:c r="J20" s="111" t="n">
        <x:f>'Оценки_критериев'!E14</x:f>
        <x:v>0.8</x:v>
      </x:c>
      <x:c r="K20" s="111" t="n">
        <x:f>'Оценки_критериев'!F14</x:f>
        <x:v>0.9</x:v>
      </x:c>
      <x:c r="L20" s="111" t="n">
        <x:f>'Оценки_критериев'!G14</x:f>
        <x:v>0.9</x:v>
      </x:c>
      <x:c r="M20" s="111" t="n">
        <x:f>G20*J20</x:f>
        <x:v>0.7111111111111111</x:v>
      </x:c>
      <x:c r="N20" s="111" t="n">
        <x:f>H20*K20</x:f>
        <x:v>0.9</x:v>
      </x:c>
      <x:c r="O20" s="111" t="n">
        <x:f>I20*L20</x:f>
        <x:v>0.9</x:v>
      </x:c>
      <x:c r="P20" s="111" t="n">
        <x:f>SQRT(((M20-1)^2+(N20-1)^2+(O20-1)^2)/3)</x:f>
        <x:v>0.18570297980328404</x:v>
      </x:c>
      <x:c r="Q20" s="112" t="n">
        <x:f>SQRT((M20^2+N20^2+O20^2)/3)</x:f>
        <x:v>0.8417598652714995</x:v>
      </x:c>
    </x:row>
    <x:row r="21">
      <x:c r="A21" s="64" t="str">
        <x:v>C5</x:v>
      </x:c>
      <x:c r="B21" s="60" t="str">
        <x:v>A2</x:v>
      </x:c>
      <x:c r="C21" s="60" t="str">
        <x:v>MAX</x:v>
      </x:c>
      <x:c r="D21" s="111" t="n">
        <x:f>'Оценки_альтернатив'!I21</x:f>
        <x:v>8</x:v>
      </x:c>
      <x:c r="E21" s="111" t="n">
        <x:f>'Оценки_альтернатив'!J21</x:f>
        <x:v>9</x:v>
      </x:c>
      <x:c r="F21" s="111" t="n">
        <x:f>'Оценки_альтернатив'!K21</x:f>
        <x:v>9</x:v>
      </x:c>
      <x:c r="G21" s="111" t="n">
        <x:f>D21/MAX($F$20:$F$23)</x:f>
        <x:v>0.8888888888888888</x:v>
      </x:c>
      <x:c r="H21" s="111" t="n">
        <x:f>E21/MAX($F$20:$F$23)</x:f>
        <x:v>1</x:v>
      </x:c>
      <x:c r="I21" s="111" t="n">
        <x:f>F21/MAX($F$20:$F$23)</x:f>
        <x:v>1</x:v>
      </x:c>
      <x:c r="J21" s="111" t="n">
        <x:f>'Оценки_критериев'!E14</x:f>
        <x:v>0.8</x:v>
      </x:c>
      <x:c r="K21" s="111" t="n">
        <x:f>'Оценки_критериев'!F14</x:f>
        <x:v>0.9</x:v>
      </x:c>
      <x:c r="L21" s="111" t="n">
        <x:f>'Оценки_критериев'!G14</x:f>
        <x:v>0.9</x:v>
      </x:c>
      <x:c r="M21" s="111" t="n">
        <x:f>G21*J21</x:f>
        <x:v>0.7111111111111111</x:v>
      </x:c>
      <x:c r="N21" s="111" t="n">
        <x:f>H21*K21</x:f>
        <x:v>0.9</x:v>
      </x:c>
      <x:c r="O21" s="111" t="n">
        <x:f>I21*L21</x:f>
        <x:v>0.9</x:v>
      </x:c>
      <x:c r="P21" s="111" t="n">
        <x:f>SQRT(((M21-1)^2+(N21-1)^2+(O21-1)^2)/3)</x:f>
        <x:v>0.18570297980328404</x:v>
      </x:c>
      <x:c r="Q21" s="112" t="n">
        <x:f>SQRT((M21^2+N21^2+O21^2)/3)</x:f>
        <x:v>0.8417598652714995</x:v>
      </x:c>
    </x:row>
    <x:row r="22">
      <x:c r="A22" s="64" t="str">
        <x:v>C5</x:v>
      </x:c>
      <x:c r="B22" s="60" t="str">
        <x:v>A3</x:v>
      </x:c>
      <x:c r="C22" s="60" t="str">
        <x:v>MAX</x:v>
      </x:c>
      <x:c r="D22" s="111" t="n">
        <x:f>'Оценки_альтернатив'!I22</x:f>
        <x:v>8</x:v>
      </x:c>
      <x:c r="E22" s="111" t="n">
        <x:f>'Оценки_альтернатив'!J22</x:f>
        <x:v>8</x:v>
      </x:c>
      <x:c r="F22" s="111" t="n">
        <x:f>'Оценки_альтернатив'!K22</x:f>
        <x:v>8</x:v>
      </x:c>
      <x:c r="G22" s="111" t="n">
        <x:f>D22/MAX($F$20:$F$23)</x:f>
        <x:v>0.8888888888888888</x:v>
      </x:c>
      <x:c r="H22" s="111" t="n">
        <x:f>E22/MAX($F$20:$F$23)</x:f>
        <x:v>0.8888888888888888</x:v>
      </x:c>
      <x:c r="I22" s="111" t="n">
        <x:f>F22/MAX($F$20:$F$23)</x:f>
        <x:v>0.8888888888888888</x:v>
      </x:c>
      <x:c r="J22" s="111" t="n">
        <x:f>'Оценки_критериев'!E14</x:f>
        <x:v>0.8</x:v>
      </x:c>
      <x:c r="K22" s="111" t="n">
        <x:f>'Оценки_критериев'!F14</x:f>
        <x:v>0.9</x:v>
      </x:c>
      <x:c r="L22" s="111" t="n">
        <x:f>'Оценки_критериев'!G14</x:f>
        <x:v>0.9</x:v>
      </x:c>
      <x:c r="M22" s="111" t="n">
        <x:f>G22*J22</x:f>
        <x:v>0.7111111111111111</x:v>
      </x:c>
      <x:c r="N22" s="111" t="n">
        <x:f>H22*K22</x:f>
        <x:v>0.7999999999999999</x:v>
      </x:c>
      <x:c r="O22" s="111" t="n">
        <x:f>I22*L22</x:f>
        <x:v>0.7999999999999999</x:v>
      </x:c>
      <x:c r="P22" s="111" t="n">
        <x:f>SQRT(((M22-1)^2+(N22-1)^2+(O22-1)^2)/3)</x:f>
        <x:v>0.23342150009761087</x:v>
      </x:c>
      <x:c r="Q22" s="112" t="n">
        <x:f>SQRT((M22^2+N22^2+O22^2)/3)</x:f>
        <x:v>0.7715091298543133</x:v>
      </x:c>
    </x:row>
    <x:row r="23">
      <x:c r="A23" s="64" t="str">
        <x:v>C5</x:v>
      </x:c>
      <x:c r="B23" s="60" t="str">
        <x:v>A4</x:v>
      </x:c>
      <x:c r="C23" s="60" t="str">
        <x:v>MAX</x:v>
      </x:c>
      <x:c r="D23" s="111" t="n">
        <x:f>'Оценки_альтернатив'!I23</x:f>
        <x:v>7</x:v>
      </x:c>
      <x:c r="E23" s="111" t="n">
        <x:f>'Оценки_альтернатив'!J23</x:f>
        <x:v>8</x:v>
      </x:c>
      <x:c r="F23" s="111" t="n">
        <x:f>'Оценки_альтернатив'!K23</x:f>
        <x:v>8</x:v>
      </x:c>
      <x:c r="G23" s="111" t="n">
        <x:f>D23/MAX($F$20:$F$23)</x:f>
        <x:v>0.7777777777777778</x:v>
      </x:c>
      <x:c r="H23" s="111" t="n">
        <x:f>E23/MAX($F$20:$F$23)</x:f>
        <x:v>0.8888888888888888</x:v>
      </x:c>
      <x:c r="I23" s="111" t="n">
        <x:f>F23/MAX($F$20:$F$23)</x:f>
        <x:v>0.8888888888888888</x:v>
      </x:c>
      <x:c r="J23" s="111" t="n">
        <x:f>'Оценки_критериев'!E14</x:f>
        <x:v>0.8</x:v>
      </x:c>
      <x:c r="K23" s="111" t="n">
        <x:f>'Оценки_критериев'!F14</x:f>
        <x:v>0.9</x:v>
      </x:c>
      <x:c r="L23" s="111" t="n">
        <x:f>'Оценки_критериев'!G14</x:f>
        <x:v>0.9</x:v>
      </x:c>
      <x:c r="M23" s="111" t="n">
        <x:f>G23*J23</x:f>
        <x:v>0.6222222222222222</x:v>
      </x:c>
      <x:c r="N23" s="111" t="n">
        <x:f>H23*K23</x:f>
        <x:v>0.7999999999999999</x:v>
      </x:c>
      <x:c r="O23" s="111" t="n">
        <x:f>I23*L23</x:f>
        <x:v>0.7999999999999999</x:v>
      </x:c>
      <x:c r="P23" s="111" t="n">
        <x:f>SQRT(((M23-1)^2+(N23-1)^2+(O23-1)^2)/3)</x:f>
        <x:v>0.27246776529999295</x:v>
      </x:c>
      <x:c r="Q23" s="112" t="n">
        <x:f>SQRT((M23^2+N23^2+O23^2)/3)</x:f>
        <x:v>0.7454664074316517</x:v>
      </x:c>
    </x:row>
    <x:row r="24">
      <x:c r="A24" s="64" t="str">
        <x:v>C6</x:v>
      </x:c>
      <x:c r="B24" s="60" t="str">
        <x:v>A1</x:v>
      </x:c>
      <x:c r="C24" s="60" t="str">
        <x:v>MAX</x:v>
      </x:c>
      <x:c r="D24" s="111" t="n">
        <x:f>'Оценки_альтернатив'!I24</x:f>
        <x:v>8</x:v>
      </x:c>
      <x:c r="E24" s="111" t="n">
        <x:f>'Оценки_альтернатив'!J24</x:f>
        <x:v>9</x:v>
      </x:c>
      <x:c r="F24" s="111" t="n">
        <x:f>'Оценки_альтернатив'!K24</x:f>
        <x:v>9</x:v>
      </x:c>
      <x:c r="G24" s="111" t="n">
        <x:f>D24/MAX($F$24:$F$27)</x:f>
        <x:v>0.8888888888888888</x:v>
      </x:c>
      <x:c r="H24" s="111" t="n">
        <x:f>E24/MAX($F$24:$F$27)</x:f>
        <x:v>1</x:v>
      </x:c>
      <x:c r="I24" s="111" t="n">
        <x:f>F24/MAX($F$24:$F$27)</x:f>
        <x:v>1</x:v>
      </x:c>
      <x:c r="J24" s="111" t="n">
        <x:f>'Оценки_критериев'!E15</x:f>
        <x:v>0.7</x:v>
      </x:c>
      <x:c r="K24" s="111" t="n">
        <x:f>'Оценки_критериев'!F15</x:f>
        <x:v>0.7</x:v>
      </x:c>
      <x:c r="L24" s="111" t="n">
        <x:f>'Оценки_критериев'!G15</x:f>
        <x:v>0.8</x:v>
      </x:c>
      <x:c r="M24" s="111" t="n">
        <x:f>G24*J24</x:f>
        <x:v>0.6222222222222221</x:v>
      </x:c>
      <x:c r="N24" s="111" t="n">
        <x:f>H24*K24</x:f>
        <x:v>0.7</x:v>
      </x:c>
      <x:c r="O24" s="111" t="n">
        <x:f>I24*L24</x:f>
        <x:v>0.8</x:v>
      </x:c>
      <x:c r="P24" s="111" t="n">
        <x:f>SQRT(((M24-1)^2+(N24-1)^2+(O24-1)^2)/3)</x:f>
        <x:v>0.3015051405768046</x:v>
      </x:c>
      <x:c r="Q24" s="112" t="n">
        <x:f>SQRT((M24^2+N24^2+O24^2)/3)</x:f>
        <x:v>0.7111400457076325</x:v>
      </x:c>
    </x:row>
    <x:row r="25">
      <x:c r="A25" s="64" t="str">
        <x:v>C6</x:v>
      </x:c>
      <x:c r="B25" s="60" t="str">
        <x:v>A2</x:v>
      </x:c>
      <x:c r="C25" s="60" t="str">
        <x:v>MAX</x:v>
      </x:c>
      <x:c r="D25" s="111" t="n">
        <x:f>'Оценки_альтернатив'!I25</x:f>
        <x:v>8</x:v>
      </x:c>
      <x:c r="E25" s="111" t="n">
        <x:f>'Оценки_альтернатив'!J25</x:f>
        <x:v>8</x:v>
      </x:c>
      <x:c r="F25" s="111" t="n">
        <x:f>'Оценки_альтернатив'!K25</x:f>
        <x:v>9</x:v>
      </x:c>
      <x:c r="G25" s="111" t="n">
        <x:f>D25/MAX($F$24:$F$27)</x:f>
        <x:v>0.8888888888888888</x:v>
      </x:c>
      <x:c r="H25" s="111" t="n">
        <x:f>E25/MAX($F$24:$F$27)</x:f>
        <x:v>0.8888888888888888</x:v>
      </x:c>
      <x:c r="I25" s="111" t="n">
        <x:f>F25/MAX($F$24:$F$27)</x:f>
        <x:v>1</x:v>
      </x:c>
      <x:c r="J25" s="111" t="n">
        <x:f>'Оценки_критериев'!E15</x:f>
        <x:v>0.7</x:v>
      </x:c>
      <x:c r="K25" s="111" t="n">
        <x:f>'Оценки_критериев'!F15</x:f>
        <x:v>0.7</x:v>
      </x:c>
      <x:c r="L25" s="111" t="n">
        <x:f>'Оценки_критериев'!G15</x:f>
        <x:v>0.8</x:v>
      </x:c>
      <x:c r="M25" s="111" t="n">
        <x:f>G25*J25</x:f>
        <x:v>0.6222222222222221</x:v>
      </x:c>
      <x:c r="N25" s="111" t="n">
        <x:f>H25*K25</x:f>
        <x:v>0.6222222222222221</x:v>
      </x:c>
      <x:c r="O25" s="111" t="n">
        <x:f>I25*L25</x:f>
        <x:v>0.8</x:v>
      </x:c>
      <x:c r="P25" s="111" t="n">
        <x:f>SQRT(((M25-1)^2+(N25-1)^2+(O25-1)^2)/3)</x:f>
        <x:v>0.3293590233394921</x:v>
      </x:c>
      <x:c r="Q25" s="112" t="n">
        <x:f>SQRT((M25^2+N25^2+O25^2)/3)</x:f>
        <x:v>0.6866151245189018</x:v>
      </x:c>
    </x:row>
    <x:row r="26">
      <x:c r="A26" s="64" t="str">
        <x:v>C6</x:v>
      </x:c>
      <x:c r="B26" s="60" t="str">
        <x:v>A3</x:v>
      </x:c>
      <x:c r="C26" s="60" t="str">
        <x:v>MAX</x:v>
      </x:c>
      <x:c r="D26" s="111" t="n">
        <x:f>'Оценки_альтернатив'!I26</x:f>
        <x:v>8</x:v>
      </x:c>
      <x:c r="E26" s="111" t="n">
        <x:f>'Оценки_альтернатив'!J26</x:f>
        <x:v>8.5</x:v>
      </x:c>
      <x:c r="F26" s="111" t="n">
        <x:f>'Оценки_альтернатив'!K26</x:f>
        <x:v>9</x:v>
      </x:c>
      <x:c r="G26" s="111" t="n">
        <x:f>D26/MAX($F$24:$F$27)</x:f>
        <x:v>0.8888888888888888</x:v>
      </x:c>
      <x:c r="H26" s="111" t="n">
        <x:f>E26/MAX($F$24:$F$27)</x:f>
        <x:v>0.9444444444444444</x:v>
      </x:c>
      <x:c r="I26" s="111" t="n">
        <x:f>F26/MAX($F$24:$F$27)</x:f>
        <x:v>1</x:v>
      </x:c>
      <x:c r="J26" s="111" t="n">
        <x:f>'Оценки_критериев'!E15</x:f>
        <x:v>0.7</x:v>
      </x:c>
      <x:c r="K26" s="111" t="n">
        <x:f>'Оценки_критериев'!F15</x:f>
        <x:v>0.7</x:v>
      </x:c>
      <x:c r="L26" s="111" t="n">
        <x:f>'Оценки_критериев'!G15</x:f>
        <x:v>0.8</x:v>
      </x:c>
      <x:c r="M26" s="111" t="n">
        <x:f>G26*J26</x:f>
        <x:v>0.6222222222222221</x:v>
      </x:c>
      <x:c r="N26" s="111" t="n">
        <x:f>H26*K26</x:f>
        <x:v>0.6611111111111111</x:v>
      </x:c>
      <x:c r="O26" s="111" t="n">
        <x:f>I26*L26</x:f>
        <x:v>0.8</x:v>
      </x:c>
      <x:c r="P26" s="111" t="n">
        <x:f>SQRT(((M26-1)^2+(N26-1)^2+(O26-1)^2)/3)</x:f>
        <x:v>0.3149400622314569</x:v>
      </x:c>
      <x:c r="Q26" s="112" t="n">
        <x:f>SQRT((M26^2+N26^2+O26^2)/3)</x:f>
        <x:v>0.698624456834459</x:v>
      </x:c>
    </x:row>
    <x:row r="27">
      <x:c r="A27" s="65" t="str">
        <x:v>C6</x:v>
      </x:c>
      <x:c r="B27" s="66" t="str">
        <x:v>A4</x:v>
      </x:c>
      <x:c r="C27" s="66" t="str">
        <x:v>MAX</x:v>
      </x:c>
      <x:c r="D27" s="113" t="n">
        <x:f>'Оценки_альтернатив'!I27</x:f>
        <x:v>8</x:v>
      </x:c>
      <x:c r="E27" s="113" t="n">
        <x:f>'Оценки_альтернатив'!J27</x:f>
        <x:v>8</x:v>
      </x:c>
      <x:c r="F27" s="113" t="n">
        <x:f>'Оценки_альтернатив'!K27</x:f>
        <x:v>9</x:v>
      </x:c>
      <x:c r="G27" s="113" t="n">
        <x:f>D27/MAX($F$24:$F$27)</x:f>
        <x:v>0.8888888888888888</x:v>
      </x:c>
      <x:c r="H27" s="113" t="n">
        <x:f>E27/MAX($F$24:$F$27)</x:f>
        <x:v>0.8888888888888888</x:v>
      </x:c>
      <x:c r="I27" s="113" t="n">
        <x:f>F27/MAX($F$24:$F$27)</x:f>
        <x:v>1</x:v>
      </x:c>
      <x:c r="J27" s="113" t="n">
        <x:f>'Оценки_критериев'!E15</x:f>
        <x:v>0.7</x:v>
      </x:c>
      <x:c r="K27" s="113" t="n">
        <x:f>'Оценки_критериев'!F15</x:f>
        <x:v>0.7</x:v>
      </x:c>
      <x:c r="L27" s="113" t="n">
        <x:f>'Оценки_критериев'!G15</x:f>
        <x:v>0.8</x:v>
      </x:c>
      <x:c r="M27" s="113" t="n">
        <x:f>G27*J27</x:f>
        <x:v>0.6222222222222221</x:v>
      </x:c>
      <x:c r="N27" s="113" t="n">
        <x:f>H27*K27</x:f>
        <x:v>0.6222222222222221</x:v>
      </x:c>
      <x:c r="O27" s="113" t="n">
        <x:f>I27*L27</x:f>
        <x:v>0.8</x:v>
      </x:c>
      <x:c r="P27" s="113" t="n">
        <x:f>SQRT(((M27-1)^2+(N27-1)^2+(O27-1)^2)/3)</x:f>
        <x:v>0.3293590233394921</x:v>
      </x:c>
      <x:c r="Q27" s="114" t="n">
        <x:f>SQRT((M27^2+N27^2+O27^2)/3)</x:f>
        <x:v>0.6866151245189018</x:v>
      </x:c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</x:row>
    <x:row r="30">
      <x:c r="A30" s="38" t="str">
        <x:v>Альт.</x:v>
      </x:c>
      <x:c r="B30" s="39" t="str">
        <x:v>Концепция</x:v>
      </x:c>
      <x:c r="C30" s="39" t="str">
        <x:v>D+</x:v>
      </x:c>
      <x:c r="D30" s="39" t="str">
        <x:v>D-</x:v>
      </x:c>
      <x:c r="E30" s="39" t="str">
        <x:v>CC</x:v>
      </x:c>
      <x:c r="F30" s="40" t="str">
        <x:v>Ранг</x:v>
      </x:c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</x:row>
    <x:row r="31">
      <x:c r="A31" s="64" t="str">
        <x:v>A1</x:v>
      </x:c>
      <x:c r="B31" s="60" t="str">
        <x:v>Система аренды автомобилей</x:v>
      </x:c>
      <x:c r="C31" s="111" t="n">
        <x:f>SUM(P4,P8,P12,P16,P20,P24)</x:f>
        <x:v>1.5868913106546616</x:v>
      </x:c>
      <x:c r="D31" s="111" t="n">
        <x:f>SUM(Q4,Q8,Q12,Q16,Q20,Q24)</x:f>
        <x:v>4.518539890799768</x:v>
      </x:c>
      <x:c r="E31" s="111" t="n">
        <x:f>D31/(C31+D31)</x:f>
        <x:v>0.7400853013827043</x:v>
      </x:c>
      <x:c r="F31" s="62" t="n">
        <x:f>RANK(E31,$E$31:$E$34,0)</x:f>
        <x:v>1</x:v>
      </x:c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</x:row>
    <x:row r="32">
      <x:c r="A32" s="64" t="str">
        <x:v>A2</x:v>
      </x:c>
      <x:c r="B32" s="60" t="str">
        <x:v>Информационная система автосервиса</x:v>
      </x:c>
      <x:c r="C32" s="111" t="n">
        <x:f>SUM(P5,P9,P13,P17,P21,P25)</x:f>
        <x:v>1.6455093969636925</x:v>
      </x:c>
      <x:c r="D32" s="111" t="n">
        <x:f>SUM(Q5,Q9,Q13,Q17,Q21,Q25)</x:f>
        <x:v>4.467495426343432</x:v>
      </x:c>
      <x:c r="E32" s="111" t="n">
        <x:f>D32/(C32+D32)</x:f>
        <x:v>0.7308182400429589</x:v>
      </x:c>
      <x:c r="F32" s="62" t="n">
        <x:f>RANK(E32,$E$31:$E$34,0)</x:f>
        <x:v>2</x:v>
      </x:c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</x:row>
    <x:row r="33">
      <x:c r="A33" s="64" t="str">
        <x:v>A3</x:v>
      </x:c>
      <x:c r="B33" s="60" t="str">
        <x:v>Система учёта и анализа личных финансов</x:v>
      </x:c>
      <x:c r="C33" s="111" t="n">
        <x:f>SUM(P6,P10,P14,P18,P22,P26)</x:f>
        <x:v>1.6717515285053817</x:v>
      </x:c>
      <x:c r="D33" s="111" t="n">
        <x:f>SUM(Q6,Q10,Q14,Q18,Q22,Q26)</x:f>
        <x:v>4.416444995382665</x:v>
      </x:c>
      <x:c r="E33" s="111" t="n">
        <x:f>D33/(C33+D33)</x:f>
        <x:v>0.7254110438212715</x:v>
      </x:c>
      <x:c r="F33" s="62" t="n">
        <x:f>RANK(E33,$E$31:$E$34,0)</x:f>
        <x:v>3</x:v>
      </x:c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</x:row>
    <x:row r="34">
      <x:c r="A34" s="65" t="str">
        <x:v>A4</x:v>
      </x:c>
      <x:c r="B34" s="66" t="str">
        <x:v>Система управления фитнес-клубом</x:v>
      </x:c>
      <x:c r="C34" s="113" t="n">
        <x:f>SUM(P7,P11,P15,P19,P23,P27)</x:f>
        <x:v>1.7835240622572608</x:v>
      </x:c>
      <x:c r="D34" s="113" t="n">
        <x:f>SUM(Q7,Q11,Q15,Q19,Q23,Q27)</x:f>
        <x:v>4.31523954088344</x:v>
      </x:c>
      <x:c r="E34" s="113" t="n">
        <x:f>D34/(C34+D34)</x:f>
        <x:v>0.7075597320514615</x:v>
      </x:c>
      <x:c r="F34" s="63" t="n">
        <x:f>RANK(E34,$E$31:$E$34,0)</x:f>
        <x:v>4</x:v>
      </x:c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</x:row>
  </x:sheetData>
  <x:mergeCells>
    <x:mergeCell ref="A1:Q1"/>
  </x:mergeCells>
  <x:conditionalFormatting sqref="A31:F34">
    <x:cfRule type="expression" dxfId="0" priority="1">
      <x:formula>$F31=1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</x:cols>
  <x:sheetData>
    <x:row r="1">
      <x:c r="A1" s="83" t="str">
        <x:v>Коллективный МАИ — веса критериев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</x:row>
    <x:row r="3">
      <x:c r="A3" s="38"/>
      <x:c r="B3" s="39" t="str">
        <x:v>C1</x:v>
      </x:c>
      <x:c r="C3" s="39" t="str">
        <x:v>C2</x:v>
      </x:c>
      <x:c r="D3" s="39" t="str">
        <x:v>C3</x:v>
      </x:c>
      <x:c r="E3" s="39" t="str">
        <x:v>C4</x:v>
      </x:c>
      <x:c r="F3" s="39" t="str">
        <x:v>C5</x:v>
      </x:c>
      <x:c r="G3" s="39" t="str">
        <x:v>C6</x:v>
      </x:c>
      <x:c r="H3" s="39" t="str">
        <x:v>GM строки</x:v>
      </x:c>
      <x:c r="I3" s="39" t="str">
        <x:v>Вес</x:v>
      </x:c>
      <x:c r="J3" s="39" t="str">
        <x:v>A·w</x:v>
      </x:c>
      <x:c r="K3" s="39" t="str">
        <x:v>λi</x:v>
      </x:c>
      <x:c r="L3" s="40" t="str">
        <x:v>Комментарий</x:v>
      </x:c>
    </x:row>
    <x:row r="4">
      <x:c r="A4" s="119" t="str">
        <x:v>C1</x:v>
      </x:c>
      <x:c r="B4" s="103" t="n">
        <x:f>POWER((IF('Оценки_критериев'!B4='Оценки_критериев'!B4,1,IF('Оценки_критериев'!B4&gt;'Оценки_критериев'!B4,MIN(9,1+('Оценки_критериев'!B4-'Оценки_критериев'!B4)),1/MIN(9,1+('Оценки_критериев'!B4-'Оценки_критериев'!B4)))))*(IF('Оценки_критериев'!B5='Оценки_критериев'!B5,1,IF('Оценки_критериев'!B5&gt;'Оценки_критериев'!B5,MIN(9,1+('Оценки_критериев'!B5-'Оценки_критериев'!B5)),1/MIN(9,1+('Оценки_критериев'!B5-'Оценки_критериев'!B5)))))*(IF('Оценки_критериев'!B6='Оценки_критериев'!B6,1,IF('Оценки_критериев'!B6&gt;'Оценки_критериев'!B6,MIN(9,1+('Оценки_критериев'!B6-'Оценки_критериев'!B6)),1/MIN(9,1+('Оценки_критериев'!B6-'Оценки_критериев'!B6)))))*(IF('Оценки_критериев'!B7='Оценки_критериев'!B7,1,IF('Оценки_критериев'!B7&gt;'Оценки_критериев'!B7,MIN(9,1+('Оценки_критериев'!B7-'Оценки_критериев'!B7)),1/MIN(9,1+('Оценки_критериев'!B7-'Оценки_критериев'!B7))))),1/4)</x:f>
        <x:v>1</x:v>
      </x:c>
      <x:c r="C4" s="103" t="n">
        <x:f>POWER((IF('Оценки_критериев'!B4='Оценки_критериев'!C4,1,IF('Оценки_критериев'!B4&gt;'Оценки_критериев'!C4,MIN(9,1+('Оценки_критериев'!B4-'Оценки_критериев'!C4)),1/MIN(9,1+('Оценки_критериев'!C4-'Оценки_критериев'!B4)))))*(IF('Оценки_критериев'!B5='Оценки_критериев'!C5,1,IF('Оценки_критериев'!B5&gt;'Оценки_критериев'!C5,MIN(9,1+('Оценки_критериев'!B5-'Оценки_критериев'!C5)),1/MIN(9,1+('Оценки_критериев'!C5-'Оценки_критериев'!B5)))))*(IF('Оценки_критериев'!B6='Оценки_критериев'!C6,1,IF('Оценки_критериев'!B6&gt;'Оценки_критериев'!C6,MIN(9,1+('Оценки_критериев'!B6-'Оценки_критериев'!C6)),1/MIN(9,1+('Оценки_критериев'!C6-'Оценки_критериев'!B6)))))*(IF('Оценки_критериев'!B7='Оценки_критериев'!C7,1,IF('Оценки_критериев'!B7&gt;'Оценки_критериев'!C7,MIN(9,1+('Оценки_критериев'!B7-'Оценки_критериев'!C7)),1/MIN(9,1+('Оценки_критериев'!C7-'Оценки_критериев'!B7))))),1/4)</x:f>
        <x:v>1.5650845800732873</x:v>
      </x:c>
      <x:c r="D4" s="103" t="n">
        <x:f>POWER((IF('Оценки_критериев'!B4='Оценки_критериев'!D4,1,IF('Оценки_критериев'!B4&gt;'Оценки_критериев'!D4,MIN(9,1+('Оценки_критериев'!B4-'Оценки_критериев'!D4)),1/MIN(9,1+('Оценки_критериев'!D4-'Оценки_критериев'!B4)))))*(IF('Оценки_критериев'!B5='Оценки_критериев'!D5,1,IF('Оценки_критериев'!B5&gt;'Оценки_критериев'!D5,MIN(9,1+('Оценки_критериев'!B5-'Оценки_критериев'!D5)),1/MIN(9,1+('Оценки_критериев'!D5-'Оценки_критериев'!B5)))))*(IF('Оценки_критериев'!B6='Оценки_критериев'!D6,1,IF('Оценки_критериев'!B6&gt;'Оценки_критериев'!D6,MIN(9,1+('Оценки_критериев'!B6-'Оценки_критериев'!D6)),1/MIN(9,1+('Оценки_критериев'!D6-'Оценки_критериев'!B6)))))*(IF('Оценки_критериев'!B7='Оценки_критериев'!D7,1,IF('Оценки_критериев'!B7&gt;'Оценки_критериев'!D7,MIN(9,1+('Оценки_критериев'!B7-'Оценки_критериев'!D7)),1/MIN(9,1+('Оценки_критериев'!D7-'Оценки_критериев'!B7))))),1/4)</x:f>
        <x:v>1</x:v>
      </x:c>
      <x:c r="E4" s="103" t="n">
        <x:f>POWER((IF('Оценки_критериев'!B4='Оценки_критериев'!E4,1,IF('Оценки_критериев'!B4&gt;'Оценки_критериев'!E4,MIN(9,1+('Оценки_критериев'!B4-'Оценки_критериев'!E4)),1/MIN(9,1+('Оценки_критериев'!E4-'Оценки_критериев'!B4)))))*(IF('Оценки_критериев'!B5='Оценки_критериев'!E5,1,IF('Оценки_критериев'!B5&gt;'Оценки_критериев'!E5,MIN(9,1+('Оценки_критериев'!B5-'Оценки_критериев'!E5)),1/MIN(9,1+('Оценки_критериев'!E5-'Оценки_критериев'!B5)))))*(IF('Оценки_критериев'!B6='Оценки_критериев'!E6,1,IF('Оценки_критериев'!B6&gt;'Оценки_критериев'!E6,MIN(9,1+('Оценки_критериев'!B6-'Оценки_критериев'!E6)),1/MIN(9,1+('Оценки_критериев'!E6-'Оценки_критериев'!B6)))))*(IF('Оценки_критериев'!B7='Оценки_критериев'!E7,1,IF('Оценки_критериев'!B7&gt;'Оценки_критериев'!E7,MIN(9,1+('Оценки_критериев'!B7-'Оценки_критериев'!E7)),1/MIN(9,1+('Оценки_критериев'!E7-'Оценки_критериев'!B7))))),1/4)</x:f>
        <x:v>2.0597671439071177</x:v>
      </x:c>
      <x:c r="F4" s="103" t="n">
        <x:f>POWER((IF('Оценки_критериев'!B4='Оценки_критериев'!F4,1,IF('Оценки_критериев'!B4&gt;'Оценки_критериев'!F4,MIN(9,1+('Оценки_критериев'!B4-'Оценки_критериев'!F4)),1/MIN(9,1+('Оценки_критериев'!F4-'Оценки_критериев'!B4)))))*(IF('Оценки_критериев'!B5='Оценки_критериев'!F5,1,IF('Оценки_критериев'!B5&gt;'Оценки_критериев'!F5,MIN(9,1+('Оценки_критериев'!B5-'Оценки_критериев'!F5)),1/MIN(9,1+('Оценки_критериев'!F5-'Оценки_критериев'!B5)))))*(IF('Оценки_критериев'!B6='Оценки_критериев'!F6,1,IF('Оценки_критериев'!B6&gt;'Оценки_критериев'!F6,MIN(9,1+('Оценки_критериев'!B6-'Оценки_критериев'!F6)),1/MIN(9,1+('Оценки_критериев'!F6-'Оценки_критериев'!B6)))))*(IF('Оценки_критериев'!B7='Оценки_критериев'!F7,1,IF('Оценки_критериев'!B7&gt;'Оценки_критериев'!F7,MIN(9,1+('Оценки_критериев'!B7-'Оценки_критериев'!F7)),1/MIN(9,1+('Оценки_критериев'!F7-'Оценки_критериев'!B7))))),1/4)</x:f>
        <x:v>0.8408964152537145</x:v>
      </x:c>
      <x:c r="G4" s="103" t="n">
        <x:f>POWER((IF('Оценки_критериев'!B4='Оценки_критериев'!G4,1,IF('Оценки_критериев'!B4&gt;'Оценки_критериев'!G4,MIN(9,1+('Оценки_критериев'!B4-'Оценки_критериев'!G4)),1/MIN(9,1+('Оценки_критериев'!G4-'Оценки_критериев'!B4)))))*(IF('Оценки_критериев'!B5='Оценки_критериев'!G5,1,IF('Оценки_критериев'!B5&gt;'Оценки_критериев'!G5,MIN(9,1+('Оценки_критериев'!B5-'Оценки_критериев'!G5)),1/MIN(9,1+('Оценки_критериев'!G5-'Оценки_критериев'!B5)))))*(IF('Оценки_критериев'!B6='Оценки_критериев'!G6,1,IF('Оценки_критериев'!B6&gt;'Оценки_критериев'!G6,MIN(9,1+('Оценки_критериев'!B6-'Оценки_критериев'!G6)),1/MIN(9,1+('Оценки_критериев'!G6-'Оценки_критериев'!B6)))))*(IF('Оценки_критериев'!B7='Оценки_критериев'!G7,1,IF('Оценки_критериев'!B7&gt;'Оценки_критериев'!G7,MIN(9,1+('Оценки_критериев'!B7-'Оценки_критериев'!G7)),1/MIN(9,1+('Оценки_критериев'!G7-'Оценки_критериев'!B7))))),1/4)</x:f>
        <x:v>2.213363839400643</x:v>
      </x:c>
      <x:c r="H4" s="103" t="n">
        <x:f>PRODUCT(B4:G4)^(1/6)</x:f>
        <x:v>1.3480061545972777</x:v>
      </x:c>
      <x:c r="I4" s="103" t="n">
        <x:f>H4/SUM($H$4:$H$9)</x:f>
        <x:v>0.2103326577503157</x:v>
      </x:c>
      <x:c r="J4" s="103" t="n">
        <x:f>B4*$I$4+C4*$I$5+D4*$I$6+E4*$I$7+F4*$I$8+G4*$I$9</x:f>
        <x:v>1.2622686813330104</x:v>
      </x:c>
      <x:c r="K4" s="103" t="n">
        <x:f>J4/I4</x:f>
        <x:v>6.001296683235182</x:v>
      </x:c>
      <x:c r="L4" s="19" t="str"/>
    </x:row>
    <x:row r="5">
      <x:c r="A5" s="119" t="str">
        <x:v>C2</x:v>
      </x:c>
      <x:c r="B5" s="103" t="n">
        <x:f>POWER((IF('Оценки_критериев'!C4='Оценки_критериев'!B4,1,IF('Оценки_критериев'!C4&gt;'Оценки_критериев'!B4,MIN(9,1+('Оценки_критериев'!C4-'Оценки_критериев'!B4)),1/MIN(9,1+('Оценки_критериев'!B4-'Оценки_критериев'!C4)))))*(IF('Оценки_критериев'!C5='Оценки_критериев'!B5,1,IF('Оценки_критериев'!C5&gt;'Оценки_критериев'!B5,MIN(9,1+('Оценки_критериев'!C5-'Оценки_критериев'!B5)),1/MIN(9,1+('Оценки_критериев'!B5-'Оценки_критериев'!C5)))))*(IF('Оценки_критериев'!C6='Оценки_критериев'!B6,1,IF('Оценки_критериев'!C6&gt;'Оценки_критериев'!B6,MIN(9,1+('Оценки_критериев'!C6-'Оценки_критериев'!B6)),1/MIN(9,1+('Оценки_критериев'!B6-'Оценки_критериев'!C6)))))*(IF('Оценки_критериев'!C7='Оценки_критериев'!B7,1,IF('Оценки_критериев'!C7&gt;'Оценки_критериев'!B7,MIN(9,1+('Оценки_критериев'!C7-'Оценки_критериев'!B7)),1/MIN(9,1+('Оценки_критериев'!B7-'Оценки_критериев'!C7))))),1/4)</x:f>
        <x:v>0.6389431042462724</x:v>
      </x:c>
      <x:c r="C5" s="103" t="n">
        <x:f>POWER((IF('Оценки_критериев'!C4='Оценки_критериев'!C4,1,IF('Оценки_критериев'!C4&gt;'Оценки_критериев'!C4,MIN(9,1+('Оценки_критериев'!C4-'Оценки_критериев'!C4)),1/MIN(9,1+('Оценки_критериев'!C4-'Оценки_критериев'!C4)))))*(IF('Оценки_критериев'!C5='Оценки_критериев'!C5,1,IF('Оценки_критериев'!C5&gt;'Оценки_критериев'!C5,MIN(9,1+('Оценки_критериев'!C5-'Оценки_критериев'!C5)),1/MIN(9,1+('Оценки_критериев'!C5-'Оценки_критериев'!C5)))))*(IF('Оценки_критериев'!C6='Оценки_критериев'!C6,1,IF('Оценки_критериев'!C6&gt;'Оценки_критериев'!C6,MIN(9,1+('Оценки_критериев'!C6-'Оценки_критериев'!C6)),1/MIN(9,1+('Оценки_критериев'!C6-'Оценки_критериев'!C6)))))*(IF('Оценки_критериев'!C7='Оценки_критериев'!C7,1,IF('Оценки_критериев'!C7&gt;'Оценки_критериев'!C7,MIN(9,1+('Оценки_критериев'!C7-'Оценки_критериев'!C7)),1/MIN(9,1+('Оценки_критериев'!C7-'Оценки_критериев'!C7))))),1/4)</x:f>
        <x:v>1</x:v>
      </x:c>
      <x:c r="D5" s="103" t="n">
        <x:f>POWER((IF('Оценки_критериев'!C4='Оценки_критериев'!D4,1,IF('Оценки_критериев'!C4&gt;'Оценки_критериев'!D4,MIN(9,1+('Оценки_критериев'!C4-'Оценки_критериев'!D4)),1/MIN(9,1+('Оценки_критериев'!D4-'Оценки_критериев'!C4)))))*(IF('Оценки_критериев'!C5='Оценки_критериев'!D5,1,IF('Оценки_критериев'!C5&gt;'Оценки_критериев'!D5,MIN(9,1+('Оценки_критериев'!C5-'Оценки_критериев'!D5)),1/MIN(9,1+('Оценки_критериев'!D5-'Оценки_критериев'!C5)))))*(IF('Оценки_критериев'!C6='Оценки_критериев'!D6,1,IF('Оценки_критериев'!C6&gt;'Оценки_критериев'!D6,MIN(9,1+('Оценки_критериев'!C6-'Оценки_критериев'!D6)),1/MIN(9,1+('Оценки_критериев'!D6-'Оценки_критериев'!C6)))))*(IF('Оценки_критериев'!C7='Оценки_критериев'!D7,1,IF('Оценки_критериев'!C7&gt;'Оценки_критериев'!D7,MIN(9,1+('Оценки_критериев'!C7-'Оценки_критериев'!D7)),1/MIN(9,1+('Оценки_критериев'!D7-'Оценки_критериев'!C7))))),1/4)</x:f>
        <x:v>0.5946035575013605</x:v>
      </x:c>
      <x:c r="E5" s="103" t="n">
        <x:f>POWER((IF('Оценки_критериев'!C4='Оценки_критериев'!E4,1,IF('Оценки_критериев'!C4&gt;'Оценки_критериев'!E4,MIN(9,1+('Оценки_критериев'!C4-'Оценки_критериев'!E4)),1/MIN(9,1+('Оценки_критериев'!E4-'Оценки_критериев'!C4)))))*(IF('Оценки_критериев'!C5='Оценки_критериев'!E5,1,IF('Оценки_критериев'!C5&gt;'Оценки_критериев'!E5,MIN(9,1+('Оценки_критериев'!C5-'Оценки_критериев'!E5)),1/MIN(9,1+('Оценки_критериев'!E5-'Оценки_критериев'!C5)))))*(IF('Оценки_критериев'!C6='Оценки_критериев'!E6,1,IF('Оценки_критериев'!C6&gt;'Оценки_критериев'!E6,MIN(9,1+('Оценки_критериев'!C6-'Оценки_критериев'!E6)),1/MIN(9,1+('Оценки_критериев'!E6-'Оценки_критериев'!C6)))))*(IF('Оценки_критериев'!C7='Оценки_критериев'!E7,1,IF('Оценки_критериев'!C7&gt;'Оценки_критериев'!E7,MIN(9,1+('Оценки_критериев'!C7-'Оценки_критериев'!E7)),1/MIN(9,1+('Оценки_критериев'!E7-'Оценки_критериев'!C7))))),1/4)</x:f>
        <x:v>1.4142135623730951</x:v>
      </x:c>
      <x:c r="F5" s="103" t="n">
        <x:f>POWER((IF('Оценки_критериев'!C4='Оценки_критериев'!F4,1,IF('Оценки_критериев'!C4&gt;'Оценки_критериев'!F4,MIN(9,1+('Оценки_критериев'!C4-'Оценки_критериев'!F4)),1/MIN(9,1+('Оценки_критериев'!F4-'Оценки_критериев'!C4)))))*(IF('Оценки_критериев'!C5='Оценки_критериев'!F5,1,IF('Оценки_критериев'!C5&gt;'Оценки_критериев'!F5,MIN(9,1+('Оценки_критериев'!C5-'Оценки_критериев'!F5)),1/MIN(9,1+('Оценки_критериев'!F5-'Оценки_критериев'!C5)))))*(IF('Оценки_критериев'!C6='Оценки_критериев'!F6,1,IF('Оценки_критериев'!C6&gt;'Оценки_критериев'!F6,MIN(9,1+('Оценки_критериев'!C6-'Оценки_критериев'!F6)),1/MIN(9,1+('Оценки_критериев'!F6-'Оценки_критериев'!C6)))))*(IF('Оценки_критериев'!C7='Оценки_критериев'!F7,1,IF('Оценки_критериев'!C7&gt;'Оценки_критериев'!F7,MIN(9,1+('Оценки_критериев'!C7-'Оценки_критериев'!F7)),1/MIN(9,1+('Оценки_критериев'!F7-'Оценки_критериев'!C7))))),1/4)</x:f>
        <x:v>0.537284965911771</x:v>
      </x:c>
      <x:c r="G5" s="103" t="n">
        <x:f>POWER((IF('Оценки_критериев'!C4='Оценки_критериев'!G4,1,IF('Оценки_критериев'!C4&gt;'Оценки_критериев'!G4,MIN(9,1+('Оценки_критериев'!C4-'Оценки_критериев'!G4)),1/MIN(9,1+('Оценки_критериев'!G4-'Оценки_критериев'!C4)))))*(IF('Оценки_критериев'!C5='Оценки_критериев'!G5,1,IF('Оценки_критериев'!C5&gt;'Оценки_критериев'!G5,MIN(9,1+('Оценки_критериев'!C5-'Оценки_критериев'!G5)),1/MIN(9,1+('Оценки_критериев'!G5-'Оценки_критериев'!C5)))))*(IF('Оценки_критериев'!C6='Оценки_критериев'!G6,1,IF('Оценки_критериев'!C6&gt;'Оценки_критериев'!G6,MIN(9,1+('Оценки_критериев'!C6-'Оценки_критериев'!G6)),1/MIN(9,1+('Оценки_критериев'!G6-'Оценки_критериев'!C6)))))*(IF('Оценки_критериев'!C7='Оценки_критериев'!G7,1,IF('Оценки_критериев'!C7&gt;'Оценки_критериев'!G7,MIN(9,1+('Оценки_критериев'!C7-'Оценки_критериев'!G7)),1/MIN(9,1+('Оценки_критериев'!G7-'Оценки_критериев'!C7))))),1/4)</x:f>
        <x:v>1.4142135623730951</x:v>
      </x:c>
      <x:c r="H5" s="103" t="n">
        <x:f>PRODUCT(B5:G5)^(1/6)</x:f>
        <x:v>0.8612992369614653</x:v>
      </x:c>
      <x:c r="I5" s="103" t="n">
        <x:f>H5/SUM($H$4:$H$9)</x:f>
        <x:v>0.13439060126735553</x:v>
      </x:c>
      <x:c r="J5" s="103" t="n">
        <x:f>B5*$I$4+C5*$I$5+D5*$I$6+E5*$I$7+F5*$I$8+G5*$I$9</x:f>
        <x:v>0.806863457618568</x:v>
      </x:c>
      <x:c r="K5" s="103" t="n">
        <x:f>J5/I5</x:f>
        <x:v>6.0038682021624465</x:v>
      </x:c>
      <x:c r="L5" s="19" t="str"/>
    </x:row>
    <x:row r="6">
      <x:c r="A6" s="119" t="str">
        <x:v>C3</x:v>
      </x:c>
      <x:c r="B6" s="103" t="n">
        <x:f>POWER((IF('Оценки_критериев'!D4='Оценки_критериев'!B4,1,IF('Оценки_критериев'!D4&gt;'Оценки_критериев'!B4,MIN(9,1+('Оценки_критериев'!D4-'Оценки_критериев'!B4)),1/MIN(9,1+('Оценки_критериев'!B4-'Оценки_критериев'!D4)))))*(IF('Оценки_критериев'!D5='Оценки_критериев'!B5,1,IF('Оценки_критериев'!D5&gt;'Оценки_критериев'!B5,MIN(9,1+('Оценки_критериев'!D5-'Оценки_критериев'!B5)),1/MIN(9,1+('Оценки_критериев'!B5-'Оценки_критериев'!D5)))))*(IF('Оценки_критериев'!D6='Оценки_критериев'!B6,1,IF('Оценки_критериев'!D6&gt;'Оценки_критериев'!B6,MIN(9,1+('Оценки_критериев'!D6-'Оценки_критериев'!B6)),1/MIN(9,1+('Оценки_критериев'!B6-'Оценки_критериев'!D6)))))*(IF('Оценки_критериев'!D7='Оценки_критериев'!B7,1,IF('Оценки_критериев'!D7&gt;'Оценки_критериев'!B7,MIN(9,1+('Оценки_критериев'!D7-'Оценки_критериев'!B7)),1/MIN(9,1+('Оценки_критериев'!B7-'Оценки_критериев'!D7))))),1/4)</x:f>
        <x:v>1</x:v>
      </x:c>
      <x:c r="C6" s="103" t="n">
        <x:f>POWER((IF('Оценки_критериев'!D4='Оценки_критериев'!C4,1,IF('Оценки_критериев'!D4&gt;'Оценки_критериев'!C4,MIN(9,1+('Оценки_критериев'!D4-'Оценки_критериев'!C4)),1/MIN(9,1+('Оценки_критериев'!C4-'Оценки_критериев'!D4)))))*(IF('Оценки_критериев'!D5='Оценки_критериев'!C5,1,IF('Оценки_критериев'!D5&gt;'Оценки_критериев'!C5,MIN(9,1+('Оценки_критериев'!D5-'Оценки_критериев'!C5)),1/MIN(9,1+('Оценки_критериев'!C5-'Оценки_критериев'!D5)))))*(IF('Оценки_критериев'!D6='Оценки_критериев'!C6,1,IF('Оценки_критериев'!D6&gt;'Оценки_критериев'!C6,MIN(9,1+('Оценки_критериев'!D6-'Оценки_критериев'!C6)),1/MIN(9,1+('Оценки_критериев'!C6-'Оценки_критериев'!D6)))))*(IF('Оценки_критериев'!D7='Оценки_критериев'!C7,1,IF('Оценки_критериев'!D7&gt;'Оценки_критериев'!C7,MIN(9,1+('Оценки_критериев'!D7-'Оценки_критериев'!C7)),1/MIN(9,1+('Оценки_критериев'!C7-'Оценки_критериев'!D7))))),1/4)</x:f>
        <x:v>1.681792830507429</x:v>
      </x:c>
      <x:c r="D6" s="103" t="n">
        <x:f>POWER((IF('Оценки_критериев'!D4='Оценки_критериев'!D4,1,IF('Оценки_критериев'!D4&gt;'Оценки_критериев'!D4,MIN(9,1+('Оценки_критериев'!D4-'Оценки_критериев'!D4)),1/MIN(9,1+('Оценки_критериев'!D4-'Оценки_критериев'!D4)))))*(IF('Оценки_критериев'!D5='Оценки_критериев'!D5,1,IF('Оценки_критериев'!D5&gt;'Оценки_критериев'!D5,MIN(9,1+('Оценки_критериев'!D5-'Оценки_критериев'!D5)),1/MIN(9,1+('Оценки_критериев'!D5-'Оценки_критериев'!D5)))))*(IF('Оценки_критериев'!D6='Оценки_критериев'!D6,1,IF('Оценки_критериев'!D6&gt;'Оценки_критериев'!D6,MIN(9,1+('Оценки_критериев'!D6-'Оценки_критериев'!D6)),1/MIN(9,1+('Оценки_критериев'!D6-'Оценки_критериев'!D6)))))*(IF('Оценки_критериев'!D7='Оценки_критериев'!D7,1,IF('Оценки_критериев'!D7&gt;'Оценки_критериев'!D7,MIN(9,1+('Оценки_критериев'!D7-'Оценки_критериев'!D7)),1/MIN(9,1+('Оценки_критериев'!D7-'Оценки_критериев'!D7))))),1/4)</x:f>
        <x:v>1</x:v>
      </x:c>
      <x:c r="E6" s="103" t="n">
        <x:f>POWER((IF('Оценки_критериев'!D4='Оценки_критериев'!E4,1,IF('Оценки_критериев'!D4&gt;'Оценки_критериев'!E4,MIN(9,1+('Оценки_критериев'!D4-'Оценки_критериев'!E4)),1/MIN(9,1+('Оценки_критериев'!E4-'Оценки_критериев'!D4)))))*(IF('Оценки_критериев'!D5='Оценки_критериев'!E5,1,IF('Оценки_критериев'!D5&gt;'Оценки_критериев'!E5,MIN(9,1+('Оценки_критериев'!D5-'Оценки_критериев'!E5)),1/MIN(9,1+('Оценки_критериев'!E5-'Оценки_критериев'!D5)))))*(IF('Оценки_критериев'!D6='Оценки_критериев'!E6,1,IF('Оценки_критериев'!D6&gt;'Оценки_критериев'!E6,MIN(9,1+('Оценки_критериев'!D6-'Оценки_критериев'!E6)),1/MIN(9,1+('Оценки_критериев'!E6-'Оценки_критериев'!D6)))))*(IF('Оценки_критериев'!D7='Оценки_критериев'!E7,1,IF('Оценки_критериев'!D7&gt;'Оценки_критериев'!E7,MIN(9,1+('Оценки_критериев'!D7-'Оценки_критериев'!E7)),1/MIN(9,1+('Оценки_критериев'!E7-'Оценки_критериев'!D7))))),1/4)</x:f>
        <x:v>2.213363839400643</x:v>
      </x:c>
      <x:c r="F6" s="103" t="n">
        <x:f>POWER((IF('Оценки_критериев'!D4='Оценки_критериев'!F4,1,IF('Оценки_критериев'!D4&gt;'Оценки_критериев'!F4,MIN(9,1+('Оценки_критериев'!D4-'Оценки_критериев'!F4)),1/MIN(9,1+('Оценки_критериев'!F4-'Оценки_критериев'!D4)))))*(IF('Оценки_критериев'!D5='Оценки_критериев'!F5,1,IF('Оценки_критериев'!D5&gt;'Оценки_критериев'!F5,MIN(9,1+('Оценки_критериев'!D5-'Оценки_критериев'!F5)),1/MIN(9,1+('Оценки_критериев'!F5-'Оценки_критериев'!D5)))))*(IF('Оценки_критериев'!D6='Оценки_критериев'!F6,1,IF('Оценки_критериев'!D6&gt;'Оценки_критериев'!F6,MIN(9,1+('Оценки_критериев'!D6-'Оценки_критериев'!F6)),1/MIN(9,1+('Оценки_критериев'!F6-'Оценки_критериев'!D6)))))*(IF('Оценки_критериев'!D7='Оценки_критериев'!F7,1,IF('Оценки_критериев'!D7&gt;'Оценки_критериев'!F7,MIN(9,1+('Оценки_критериев'!D7-'Оценки_критериев'!F7)),1/MIN(9,1+('Оценки_критериев'!F7-'Оценки_критериев'!D7))))),1/4)</x:f>
        <x:v>0.8408964152537145</x:v>
      </x:c>
      <x:c r="G6" s="103" t="n">
        <x:f>POWER((IF('Оценки_критериев'!D4='Оценки_критериев'!G4,1,IF('Оценки_критериев'!D4&gt;'Оценки_критериев'!G4,MIN(9,1+('Оценки_критериев'!D4-'Оценки_критериев'!G4)),1/MIN(9,1+('Оценки_критериев'!G4-'Оценки_критериев'!D4)))))*(IF('Оценки_критериев'!D5='Оценки_критериев'!G5,1,IF('Оценки_критериев'!D5&gt;'Оценки_критериев'!G5,MIN(9,1+('Оценки_критериев'!D5-'Оценки_критериев'!G5)),1/MIN(9,1+('Оценки_критериев'!G5-'Оценки_критериев'!D5)))))*(IF('Оценки_критериев'!D6='Оценки_критериев'!G6,1,IF('Оценки_критериев'!D6&gt;'Оценки_критериев'!G6,MIN(9,1+('Оценки_критериев'!D6-'Оценки_критериев'!G6)),1/MIN(9,1+('Оценки_критериев'!G6-'Оценки_критериев'!D6)))))*(IF('Оценки_критериев'!D7='Оценки_критериев'!G7,1,IF('Оценки_критериев'!D7&gt;'Оценки_критериев'!G7,MIN(9,1+('Оценки_критериев'!D7-'Оценки_критериев'!G7)),1/MIN(9,1+('Оценки_критериев'!G7-'Оценки_критериев'!D7))))),1/4)</x:f>
        <x:v>2.0597671439071177</x:v>
      </x:c>
      <x:c r="H6" s="103" t="n">
        <x:f>PRODUCT(B6:G6)^(1/6)</x:f>
        <x:v>1.3642616018213658</x:v>
      </x:c>
      <x:c r="I6" s="103" t="n">
        <x:f>H6/SUM($H$4:$H$9)</x:f>
        <x:v>0.21286903446187747</x:v>
      </x:c>
      <x:c r="J6" s="103" t="n">
        <x:f>B6*$I$4+C6*$I$5+D6*$I$6+E6*$I$7+F6*$I$8+G6*$I$9</x:f>
        <x:v>1.2781356301267237</x:v>
      </x:c>
      <x:c r="K6" s="103" t="n">
        <x:f>J6/I6</x:f>
        <x:v>6.004328592732091</x:v>
      </x:c>
      <x:c r="L6" s="19" t="str"/>
    </x:row>
    <x:row r="7">
      <x:c r="A7" s="119" t="str">
        <x:v>C4</x:v>
      </x:c>
      <x:c r="B7" s="103" t="n">
        <x:f>POWER((IF('Оценки_критериев'!E4='Оценки_критериев'!B4,1,IF('Оценки_критериев'!E4&gt;'Оценки_критериев'!B4,MIN(9,1+('Оценки_критериев'!E4-'Оценки_критериев'!B4)),1/MIN(9,1+('Оценки_критериев'!B4-'Оценки_критериев'!E4)))))*(IF('Оценки_критериев'!E5='Оценки_критериев'!B5,1,IF('Оценки_критериев'!E5&gt;'Оценки_критериев'!B5,MIN(9,1+('Оценки_критериев'!E5-'Оценки_критериев'!B5)),1/MIN(9,1+('Оценки_критериев'!B5-'Оценки_критериев'!E5)))))*(IF('Оценки_критериев'!E6='Оценки_критериев'!B6,1,IF('Оценки_критериев'!E6&gt;'Оценки_критериев'!B6,MIN(9,1+('Оценки_критериев'!E6-'Оценки_критериев'!B6)),1/MIN(9,1+('Оценки_критериев'!B6-'Оценки_критериев'!E6)))))*(IF('Оценки_критериев'!E7='Оценки_критериев'!B7,1,IF('Оценки_критериев'!E7&gt;'Оценки_критериев'!B7,MIN(9,1+('Оценки_критериев'!E7-'Оценки_критериев'!B7)),1/MIN(9,1+('Оценки_критериев'!B7-'Оценки_критериев'!E7))))),1/4)</x:f>
        <x:v>0.48549177170732344</x:v>
      </x:c>
      <x:c r="C7" s="103" t="n">
        <x:f>POWER((IF('Оценки_критериев'!E4='Оценки_критериев'!C4,1,IF('Оценки_критериев'!E4&gt;'Оценки_критериев'!C4,MIN(9,1+('Оценки_критериев'!E4-'Оценки_критериев'!C4)),1/MIN(9,1+('Оценки_критериев'!C4-'Оценки_критериев'!E4)))))*(IF('Оценки_критериев'!E5='Оценки_критериев'!C5,1,IF('Оценки_критериев'!E5&gt;'Оценки_критериев'!C5,MIN(9,1+('Оценки_критериев'!E5-'Оценки_критериев'!C5)),1/MIN(9,1+('Оценки_критериев'!C5-'Оценки_критериев'!E5)))))*(IF('Оценки_критериев'!E6='Оценки_критериев'!C6,1,IF('Оценки_критериев'!E6&gt;'Оценки_критериев'!C6,MIN(9,1+('Оценки_критериев'!E6-'Оценки_критериев'!C6)),1/MIN(9,1+('Оценки_критериев'!C6-'Оценки_критериев'!E6)))))*(IF('Оценки_критериев'!E7='Оценки_критериев'!C7,1,IF('Оценки_критериев'!E7&gt;'Оценки_критериев'!C7,MIN(9,1+('Оценки_критериев'!E7-'Оценки_критериев'!C7)),1/MIN(9,1+('Оценки_критериев'!C7-'Оценки_критериев'!E7))))),1/4)</x:f>
        <x:v>0.7071067811865476</x:v>
      </x:c>
      <x:c r="D7" s="103" t="n">
        <x:f>POWER((IF('Оценки_критериев'!E4='Оценки_критериев'!D4,1,IF('Оценки_критериев'!E4&gt;'Оценки_критериев'!D4,MIN(9,1+('Оценки_критериев'!E4-'Оценки_критериев'!D4)),1/MIN(9,1+('Оценки_критериев'!D4-'Оценки_критериев'!E4)))))*(IF('Оценки_критериев'!E5='Оценки_критериев'!D5,1,IF('Оценки_критериев'!E5&gt;'Оценки_критериев'!D5,MIN(9,1+('Оценки_критериев'!E5-'Оценки_критериев'!D5)),1/MIN(9,1+('Оценки_критериев'!D5-'Оценки_критериев'!E5)))))*(IF('Оценки_критериев'!E6='Оценки_критериев'!D6,1,IF('Оценки_критериев'!E6&gt;'Оценки_критериев'!D6,MIN(9,1+('Оценки_критериев'!E6-'Оценки_критериев'!D6)),1/MIN(9,1+('Оценки_критериев'!D6-'Оценки_критериев'!E6)))))*(IF('Оценки_критериев'!E7='Оценки_критериев'!D7,1,IF('Оценки_критериев'!E7&gt;'Оценки_критериев'!D7,MIN(9,1+('Оценки_критериев'!E7-'Оценки_критериев'!D7)),1/MIN(9,1+('Оценки_критериев'!D7-'Оценки_критериев'!E7))))),1/4)</x:f>
        <x:v>0.4518010018049224</x:v>
      </x:c>
      <x:c r="E7" s="103" t="n">
        <x:f>POWER((IF('Оценки_критериев'!E4='Оценки_критериев'!E4,1,IF('Оценки_критериев'!E4&gt;'Оценки_критериев'!E4,MIN(9,1+('Оценки_критериев'!E4-'Оценки_критериев'!E4)),1/MIN(9,1+('Оценки_критериев'!E4-'Оценки_критериев'!E4)))))*(IF('Оценки_критериев'!E5='Оценки_критериев'!E5,1,IF('Оценки_критериев'!E5&gt;'Оценки_критериев'!E5,MIN(9,1+('Оценки_критериев'!E5-'Оценки_критериев'!E5)),1/MIN(9,1+('Оценки_критериев'!E5-'Оценки_критериев'!E5)))))*(IF('Оценки_критериев'!E6='Оценки_критериев'!E6,1,IF('Оценки_критериев'!E6&gt;'Оценки_критериев'!E6,MIN(9,1+('Оценки_критериев'!E6-'Оценки_критериев'!E6)),1/MIN(9,1+('Оценки_критериев'!E6-'Оценки_критериев'!E6)))))*(IF('Оценки_критериев'!E7='Оценки_критериев'!E7,1,IF('Оценки_критериев'!E7&gt;'Оценки_критериев'!E7,MIN(9,1+('Оценки_критериев'!E7-'Оценки_критериев'!E7)),1/MIN(9,1+('Оценки_критериев'!E7-'Оценки_критериев'!E7))))),1/4)</x:f>
        <x:v>1</x:v>
      </x:c>
      <x:c r="F7" s="103" t="n">
        <x:f>POWER((IF('Оценки_критериев'!E4='Оценки_критериев'!F4,1,IF('Оценки_критериев'!E4&gt;'Оценки_критериев'!F4,MIN(9,1+('Оценки_критериев'!E4-'Оценки_критериев'!F4)),1/MIN(9,1+('Оценки_критериев'!F4-'Оценки_критериев'!E4)))))*(IF('Оценки_критериев'!E5='Оценки_критериев'!F5,1,IF('Оценки_критериев'!E5&gt;'Оценки_критериев'!F5,MIN(9,1+('Оценки_критериев'!E5-'Оценки_критериев'!F5)),1/MIN(9,1+('Оценки_критериев'!F5-'Оценки_критериев'!E5)))))*(IF('Оценки_критериев'!E6='Оценки_критериев'!F6,1,IF('Оценки_критериев'!E6&gt;'Оценки_критериев'!F6,MIN(9,1+('Оценки_критериев'!E6-'Оценки_критериев'!F6)),1/MIN(9,1+('Оценки_критериев'!F6-'Оценки_критериев'!E6)))))*(IF('Оценки_критериев'!E7='Оценки_критериев'!F7,1,IF('Оценки_критериев'!E7&gt;'Оценки_критериев'!F7,MIN(9,1+('Оценки_критериев'!E7-'Оценки_критериев'!F7)),1/MIN(9,1+('Оценки_критериев'!F7-'Оценки_критериев'!E7))))),1/4)</x:f>
        <x:v>0.4386913376508308</x:v>
      </x:c>
      <x:c r="G7" s="103" t="n">
        <x:f>POWER((IF('Оценки_критериев'!E4='Оценки_критериев'!G4,1,IF('Оценки_критериев'!E4&gt;'Оценки_критериев'!G4,MIN(9,1+('Оценки_критериев'!E4-'Оценки_критериев'!G4)),1/MIN(9,1+('Оценки_критериев'!G4-'Оценки_критериев'!E4)))))*(IF('Оценки_критериев'!E5='Оценки_критериев'!G5,1,IF('Оценки_критериев'!E5&gt;'Оценки_критериев'!G5,MIN(9,1+('Оценки_критериев'!E5-'Оценки_критериев'!G5)),1/MIN(9,1+('Оценки_критериев'!G5-'Оценки_критериев'!E5)))))*(IF('Оценки_критериев'!E6='Оценки_критериев'!G6,1,IF('Оценки_критериев'!E6&gt;'Оценки_критериев'!G6,MIN(9,1+('Оценки_критериев'!E6-'Оценки_критериев'!G6)),1/MIN(9,1+('Оценки_критериев'!G6-'Оценки_критериев'!E6)))))*(IF('Оценки_критериев'!E7='Оценки_критериев'!G7,1,IF('Оценки_критериев'!E7&gt;'Оценки_критериев'!G7,MIN(9,1+('Оценки_критериев'!E7-'Оценки_критериев'!G7)),1/MIN(9,1+('Оценки_критериев'!G7-'Оценки_критериев'!E7))))),1/4)</x:f>
        <x:v>1</x:v>
      </x:c>
      <x:c r="H7" s="103" t="n">
        <x:f>PRODUCT(B7:G7)^(1/6)</x:f>
        <x:v>0.6389431042462725</x:v>
      </x:c>
      <x:c r="I7" s="103" t="n">
        <x:f>H7/SUM($H$4:$H$9)</x:f>
        <x:v>0.09969583655758996</x:v>
      </x:c>
      <x:c r="J7" s="103" t="n">
        <x:f>B7*$I$4+C7*$I$5+D7*$I$6+E7*$I$7+F7*$I$8+G7*$I$9</x:f>
        <x:v>0.5986516489333453</x:v>
      </x:c>
      <x:c r="K7" s="103" t="n">
        <x:f>J7/I7</x:f>
        <x:v>6.0047808374377825</x:v>
      </x:c>
      <x:c r="L7" s="19" t="str"/>
    </x:row>
    <x:row r="8">
      <x:c r="A8" s="119" t="str">
        <x:v>C5</x:v>
      </x:c>
      <x:c r="B8" s="103" t="n">
        <x:f>POWER((IF('Оценки_критериев'!F4='Оценки_критериев'!B4,1,IF('Оценки_критериев'!F4&gt;'Оценки_критериев'!B4,MIN(9,1+('Оценки_критериев'!F4-'Оценки_критериев'!B4)),1/MIN(9,1+('Оценки_критериев'!B4-'Оценки_критериев'!F4)))))*(IF('Оценки_критериев'!F5='Оценки_критериев'!B5,1,IF('Оценки_критериев'!F5&gt;'Оценки_критериев'!B5,MIN(9,1+('Оценки_критериев'!F5-'Оценки_критериев'!B5)),1/MIN(9,1+('Оценки_критериев'!B5-'Оценки_критериев'!F5)))))*(IF('Оценки_критериев'!F6='Оценки_критериев'!B6,1,IF('Оценки_критериев'!F6&gt;'Оценки_критериев'!B6,MIN(9,1+('Оценки_критериев'!F6-'Оценки_критериев'!B6)),1/MIN(9,1+('Оценки_критериев'!B6-'Оценки_критериев'!F6)))))*(IF('Оценки_критериев'!F7='Оценки_критериев'!B7,1,IF('Оценки_критериев'!F7&gt;'Оценки_критериев'!B7,MIN(9,1+('Оценки_критериев'!F7-'Оценки_критериев'!B7)),1/MIN(9,1+('Оценки_критериев'!B7-'Оценки_критериев'!F7))))),1/4)</x:f>
        <x:v>1.189207115002721</x:v>
      </x:c>
      <x:c r="C8" s="103" t="n">
        <x:f>POWER((IF('Оценки_критериев'!F4='Оценки_критериев'!C4,1,IF('Оценки_критериев'!F4&gt;'Оценки_критериев'!C4,MIN(9,1+('Оценки_критериев'!F4-'Оценки_критериев'!C4)),1/MIN(9,1+('Оценки_критериев'!C4-'Оценки_критериев'!F4)))))*(IF('Оценки_критериев'!F5='Оценки_критериев'!C5,1,IF('Оценки_критериев'!F5&gt;'Оценки_критериев'!C5,MIN(9,1+('Оценки_критериев'!F5-'Оценки_критериев'!C5)),1/MIN(9,1+('Оценки_критериев'!C5-'Оценки_критериев'!F5)))))*(IF('Оценки_критериев'!F6='Оценки_критериев'!C6,1,IF('Оценки_критериев'!F6&gt;'Оценки_критериев'!C6,MIN(9,1+('Оценки_критериев'!F6-'Оценки_критериев'!C6)),1/MIN(9,1+('Оценки_критериев'!C6-'Оценки_критериев'!F6)))))*(IF('Оценки_критериев'!F7='Оценки_критериев'!C7,1,IF('Оценки_критериев'!F7&gt;'Оценки_критериев'!C7,MIN(9,1+('Оценки_критериев'!F7-'Оценки_критериев'!C7)),1/MIN(9,1+('Оценки_критериев'!C7-'Оценки_критериев'!F7))))),1/4)</x:f>
        <x:v>1.8612097182041991</x:v>
      </x:c>
      <x:c r="D8" s="103" t="n">
        <x:f>POWER((IF('Оценки_критериев'!F4='Оценки_критериев'!D4,1,IF('Оценки_критериев'!F4&gt;'Оценки_критериев'!D4,MIN(9,1+('Оценки_критериев'!F4-'Оценки_критериев'!D4)),1/MIN(9,1+('Оценки_критериев'!D4-'Оценки_критериев'!F4)))))*(IF('Оценки_критериев'!F5='Оценки_критериев'!D5,1,IF('Оценки_критериев'!F5&gt;'Оценки_критериев'!D5,MIN(9,1+('Оценки_критериев'!F5-'Оценки_критериев'!D5)),1/MIN(9,1+('Оценки_критериев'!D5-'Оценки_критериев'!F5)))))*(IF('Оценки_критериев'!F6='Оценки_критериев'!D6,1,IF('Оценки_критериев'!F6&gt;'Оценки_критериев'!D6,MIN(9,1+('Оценки_критериев'!F6-'Оценки_критериев'!D6)),1/MIN(9,1+('Оценки_критериев'!D6-'Оценки_критериев'!F6)))))*(IF('Оценки_критериев'!F7='Оценки_критериев'!D7,1,IF('Оценки_критериев'!F7&gt;'Оценки_критериев'!D7,MIN(9,1+('Оценки_критериев'!F7-'Оценки_критериев'!D7)),1/MIN(9,1+('Оценки_критериев'!D7-'Оценки_критериев'!F7))))),1/4)</x:f>
        <x:v>1.189207115002721</x:v>
      </x:c>
      <x:c r="E8" s="103" t="n">
        <x:f>POWER((IF('Оценки_критериев'!F4='Оценки_критериев'!E4,1,IF('Оценки_критериев'!F4&gt;'Оценки_критериев'!E4,MIN(9,1+('Оценки_критериев'!F4-'Оценки_критериев'!E4)),1/MIN(9,1+('Оценки_критериев'!E4-'Оценки_критериев'!F4)))))*(IF('Оценки_критериев'!F5='Оценки_критериев'!E5,1,IF('Оценки_критериев'!F5&gt;'Оценки_критериев'!E5,MIN(9,1+('Оценки_критериев'!F5-'Оценки_критериев'!E5)),1/MIN(9,1+('Оценки_критериев'!E5-'Оценки_критериев'!F5)))))*(IF('Оценки_критериев'!F6='Оценки_критериев'!E6,1,IF('Оценки_критериев'!F6&gt;'Оценки_критериев'!E6,MIN(9,1+('Оценки_критериев'!F6-'Оценки_критериев'!E6)),1/MIN(9,1+('Оценки_критериев'!E6-'Оценки_критериев'!F6)))))*(IF('Оценки_критериев'!F7='Оценки_критериев'!E7,1,IF('Оценки_критериев'!F7&gt;'Оценки_критериев'!E7,MIN(9,1+('Оценки_критериев'!F7-'Оценки_критериев'!E7)),1/MIN(9,1+('Оценки_критериев'!E7-'Оценки_критериев'!F7))))),1/4)</x:f>
        <x:v>2.2795070569547775</x:v>
      </x:c>
      <x:c r="F8" s="103" t="n">
        <x:f>POWER((IF('Оценки_критериев'!F4='Оценки_критериев'!F4,1,IF('Оценки_критериев'!F4&gt;'Оценки_критериев'!F4,MIN(9,1+('Оценки_критериев'!F4-'Оценки_критериев'!F4)),1/MIN(9,1+('Оценки_критериев'!F4-'Оценки_критериев'!F4)))))*(IF('Оценки_критериев'!F5='Оценки_критериев'!F5,1,IF('Оценки_критериев'!F5&gt;'Оценки_критериев'!F5,MIN(9,1+('Оценки_критериев'!F5-'Оценки_критериев'!F5)),1/MIN(9,1+('Оценки_критериев'!F5-'Оценки_критериев'!F5)))))*(IF('Оценки_критериев'!F6='Оценки_критериев'!F6,1,IF('Оценки_критериев'!F6&gt;'Оценки_критериев'!F6,MIN(9,1+('Оценки_критериев'!F6-'Оценки_критериев'!F6)),1/MIN(9,1+('Оценки_критериев'!F6-'Оценки_критериев'!F6)))))*(IF('Оценки_критериев'!F7='Оценки_критериев'!F7,1,IF('Оценки_критериев'!F7&gt;'Оценки_критериев'!F7,MIN(9,1+('Оценки_критериев'!F7-'Оценки_критериев'!F7)),1/MIN(9,1+('Оценки_критериев'!F7-'Оценки_критериев'!F7))))),1/4)</x:f>
        <x:v>1</x:v>
      </x:c>
      <x:c r="G8" s="103" t="n">
        <x:f>POWER((IF('Оценки_критериев'!F4='Оценки_критериев'!G4,1,IF('Оценки_критериев'!F4&gt;'Оценки_критериев'!G4,MIN(9,1+('Оценки_критериев'!F4-'Оценки_критериев'!G4)),1/MIN(9,1+('Оценки_критериев'!G4-'Оценки_критериев'!F4)))))*(IF('Оценки_критериев'!F5='Оценки_критериев'!G5,1,IF('Оценки_критериев'!F5&gt;'Оценки_критериев'!G5,MIN(9,1+('Оценки_критериев'!F5-'Оценки_критериев'!G5)),1/MIN(9,1+('Оценки_критериев'!G5-'Оценки_критериев'!F5)))))*(IF('Оценки_критериев'!F6='Оценки_критериев'!G6,1,IF('Оценки_критериев'!F6&gt;'Оценки_критериев'!G6,MIN(9,1+('Оценки_критериев'!F6-'Оценки_критериев'!G6)),1/MIN(9,1+('Оценки_критериев'!G6-'Оценки_критериев'!F6)))))*(IF('Оценки_критериев'!F7='Оценки_критериев'!G7,1,IF('Оценки_критериев'!F7&gt;'Оценки_критериев'!G7,MIN(9,1+('Оценки_критериев'!F7-'Оценки_критериев'!G7)),1/MIN(9,1+('Оценки_критериев'!G7-'Оценки_критериев'!F7))))),1/4)</x:f>
        <x:v>2.449489742783178</x:v>
      </x:c>
      <x:c r="H8" s="103" t="n">
        <x:f>PRODUCT(B8:G8)^(1/6)</x:f>
        <x:v>1.5650845800732873</x:v>
      </x:c>
      <x:c r="I8" s="103" t="n">
        <x:f>H8/SUM($H$4:$H$9)</x:f>
        <x:v>0.24420392904600474</x:v>
      </x:c>
      <x:c r="J8" s="103" t="n">
        <x:f>B8*$I$4+C8*$I$5+D8*$I$6+E8*$I$7+F8*$I$8+G8*$I$9</x:f>
        <x:v>1.4661590394606123</x:v>
      </x:c>
      <x:c r="K8" s="103" t="n">
        <x:f>J8/I8</x:f>
        <x:v>6.003830672128161</x:v>
      </x:c>
      <x:c r="L8" s="19" t="str"/>
    </x:row>
    <x:row r="9">
      <x:c r="A9" s="120" t="str">
        <x:v>C6</x:v>
      </x:c>
      <x:c r="B9" s="105" t="n">
        <x:f>POWER((IF('Оценки_критериев'!G4='Оценки_критериев'!B4,1,IF('Оценки_критериев'!G4&gt;'Оценки_критериев'!B4,MIN(9,1+('Оценки_критериев'!G4-'Оценки_критериев'!B4)),1/MIN(9,1+('Оценки_критериев'!B4-'Оценки_критериев'!G4)))))*(IF('Оценки_критериев'!G5='Оценки_критериев'!B5,1,IF('Оценки_критериев'!G5&gt;'Оценки_критериев'!B5,MIN(9,1+('Оценки_критериев'!G5-'Оценки_критериев'!B5)),1/MIN(9,1+('Оценки_критериев'!B5-'Оценки_критериев'!G5)))))*(IF('Оценки_критериев'!G6='Оценки_критериев'!B6,1,IF('Оценки_критериев'!G6&gt;'Оценки_критериев'!B6,MIN(9,1+('Оценки_критериев'!G6-'Оценки_критериев'!B6)),1/MIN(9,1+('Оценки_критериев'!B6-'Оценки_критериев'!G6)))))*(IF('Оценки_критериев'!G7='Оценки_критериев'!B7,1,IF('Оценки_критериев'!G7&gt;'Оценки_критериев'!B7,MIN(9,1+('Оценки_критериев'!G7-'Оценки_критериев'!B7)),1/MIN(9,1+('Оценки_критериев'!B7-'Оценки_критериев'!G7))))),1/4)</x:f>
        <x:v>0.4518010018049224</x:v>
      </x:c>
      <x:c r="C9" s="105" t="n">
        <x:f>POWER((IF('Оценки_критериев'!G4='Оценки_критериев'!C4,1,IF('Оценки_критериев'!G4&gt;'Оценки_критериев'!C4,MIN(9,1+('Оценки_критериев'!G4-'Оценки_критериев'!C4)),1/MIN(9,1+('Оценки_критериев'!C4-'Оценки_критериев'!G4)))))*(IF('Оценки_критериев'!G5='Оценки_критериев'!C5,1,IF('Оценки_критериев'!G5&gt;'Оценки_критериев'!C5,MIN(9,1+('Оценки_критериев'!G5-'Оценки_критериев'!C5)),1/MIN(9,1+('Оценки_критериев'!C5-'Оценки_критериев'!G5)))))*(IF('Оценки_критериев'!G6='Оценки_критериев'!C6,1,IF('Оценки_критериев'!G6&gt;'Оценки_критериев'!C6,MIN(9,1+('Оценки_критериев'!G6-'Оценки_критериев'!C6)),1/MIN(9,1+('Оценки_критериев'!C6-'Оценки_критериев'!G6)))))*(IF('Оценки_критериев'!G7='Оценки_критериев'!C7,1,IF('Оценки_критериев'!G7&gt;'Оценки_критериев'!C7,MIN(9,1+('Оценки_критериев'!G7-'Оценки_критериев'!C7)),1/MIN(9,1+('Оценки_критериев'!C7-'Оценки_критериев'!G7))))),1/4)</x:f>
        <x:v>0.7071067811865476</x:v>
      </x:c>
      <x:c r="D9" s="105" t="n">
        <x:f>POWER((IF('Оценки_критериев'!G4='Оценки_критериев'!D4,1,IF('Оценки_критериев'!G4&gt;'Оценки_критериев'!D4,MIN(9,1+('Оценки_критериев'!G4-'Оценки_критериев'!D4)),1/MIN(9,1+('Оценки_критериев'!D4-'Оценки_критериев'!G4)))))*(IF('Оценки_критериев'!G5='Оценки_критериев'!D5,1,IF('Оценки_критериев'!G5&gt;'Оценки_критериев'!D5,MIN(9,1+('Оценки_критериев'!G5-'Оценки_критериев'!D5)),1/MIN(9,1+('Оценки_критериев'!D5-'Оценки_критериев'!G5)))))*(IF('Оценки_критериев'!G6='Оценки_критериев'!D6,1,IF('Оценки_критериев'!G6&gt;'Оценки_критериев'!D6,MIN(9,1+('Оценки_критериев'!G6-'Оценки_критериев'!D6)),1/MIN(9,1+('Оценки_критериев'!D6-'Оценки_критериев'!G6)))))*(IF('Оценки_критериев'!G7='Оценки_критериев'!D7,1,IF('Оценки_критериев'!G7&gt;'Оценки_критериев'!D7,MIN(9,1+('Оценки_критериев'!G7-'Оценки_критериев'!D7)),1/MIN(9,1+('Оценки_критериев'!D7-'Оценки_критериев'!G7))))),1/4)</x:f>
        <x:v>0.48549177170732344</x:v>
      </x:c>
      <x:c r="E9" s="105" t="n">
        <x:f>POWER((IF('Оценки_критериев'!G4='Оценки_критериев'!E4,1,IF('Оценки_критериев'!G4&gt;'Оценки_критериев'!E4,MIN(9,1+('Оценки_критериев'!G4-'Оценки_критериев'!E4)),1/MIN(9,1+('Оценки_критериев'!E4-'Оценки_критериев'!G4)))))*(IF('Оценки_критериев'!G5='Оценки_критериев'!E5,1,IF('Оценки_критериев'!G5&gt;'Оценки_критериев'!E5,MIN(9,1+('Оценки_критериев'!G5-'Оценки_критериев'!E5)),1/MIN(9,1+('Оценки_критериев'!E5-'Оценки_критериев'!G5)))))*(IF('Оценки_критериев'!G6='Оценки_критериев'!E6,1,IF('Оценки_критериев'!G6&gt;'Оценки_критериев'!E6,MIN(9,1+('Оценки_критериев'!G6-'Оценки_критериев'!E6)),1/MIN(9,1+('Оценки_критериев'!E6-'Оценки_критериев'!G6)))))*(IF('Оценки_критериев'!G7='Оценки_критериев'!E7,1,IF('Оценки_критериев'!G7&gt;'Оценки_критериев'!E7,MIN(9,1+('Оценки_критериев'!G7-'Оценки_критериев'!E7)),1/MIN(9,1+('Оценки_критериев'!E7-'Оценки_критериев'!G7))))),1/4)</x:f>
        <x:v>1</x:v>
      </x:c>
      <x:c r="F9" s="105" t="n">
        <x:f>POWER((IF('Оценки_критериев'!G4='Оценки_критериев'!F4,1,IF('Оценки_критериев'!G4&gt;'Оценки_критериев'!F4,MIN(9,1+('Оценки_критериев'!G4-'Оценки_критериев'!F4)),1/MIN(9,1+('Оценки_критериев'!F4-'Оценки_критериев'!G4)))))*(IF('Оценки_критериев'!G5='Оценки_критериев'!F5,1,IF('Оценки_критериев'!G5&gt;'Оценки_критериев'!F5,MIN(9,1+('Оценки_критериев'!G5-'Оценки_критериев'!F5)),1/MIN(9,1+('Оценки_критериев'!F5-'Оценки_критериев'!G5)))))*(IF('Оценки_критериев'!G6='Оценки_критериев'!F6,1,IF('Оценки_критериев'!G6&gt;'Оценки_критериев'!F6,MIN(9,1+('Оценки_критериев'!G6-'Оценки_критериев'!F6)),1/MIN(9,1+('Оценки_критериев'!F6-'Оценки_критериев'!G6)))))*(IF('Оценки_критериев'!G7='Оценки_критериев'!F7,1,IF('Оценки_критериев'!G7&gt;'Оценки_критериев'!F7,MIN(9,1+('Оценки_критериев'!G7-'Оценки_критериев'!F7)),1/MIN(9,1+('Оценки_критериев'!F7-'Оценки_критериев'!G7))))),1/4)</x:f>
        <x:v>0.408248290463863</x:v>
      </x:c>
      <x:c r="G9" s="105" t="n">
        <x:f>POWER((IF('Оценки_критериев'!G4='Оценки_критериев'!G4,1,IF('Оценки_критериев'!G4&gt;'Оценки_критериев'!G4,MIN(9,1+('Оценки_критериев'!G4-'Оценки_критериев'!G4)),1/MIN(9,1+('Оценки_критериев'!G4-'Оценки_критериев'!G4)))))*(IF('Оценки_критериев'!G5='Оценки_критериев'!G5,1,IF('Оценки_критериев'!G5&gt;'Оценки_критериев'!G5,MIN(9,1+('Оценки_критериев'!G5-'Оценки_критериев'!G5)),1/MIN(9,1+('Оценки_критериев'!G5-'Оценки_критериев'!G5)))))*(IF('Оценки_критериев'!G6='Оценки_критериев'!G6,1,IF('Оценки_критериев'!G6&gt;'Оценки_критериев'!G6,MIN(9,1+('Оценки_критериев'!G6-'Оценки_критериев'!G6)),1/MIN(9,1+('Оценки_критериев'!G6-'Оценки_критериев'!G6)))))*(IF('Оценки_критериев'!G7='Оценки_критериев'!G7,1,IF('Оценки_критериев'!G7&gt;'Оценки_критериев'!G7,MIN(9,1+('Оценки_критериев'!G7-'Оценки_критериев'!G7)),1/MIN(9,1+('Оценки_критериев'!G7-'Оценки_критериев'!G7))))),1/4)</x:f>
        <x:v>1</x:v>
      </x:c>
      <x:c r="H9" s="105" t="n">
        <x:f>PRODUCT(B9:G9)^(1/6)</x:f>
        <x:v>0.6313299705947762</x:v>
      </x:c>
      <x:c r="I9" s="105" t="n">
        <x:f>H9/SUM($H$4:$H$9)</x:f>
        <x:v>0.09850794091685679</x:v>
      </x:c>
      <x:c r="J9" s="105" t="n">
        <x:f>B9*$I$4+C9*$I$5+D9*$I$6+E9*$I$7+F9*$I$8+G9*$I$9</x:f>
        <x:v>0.59130278968233</x:v>
      </x:c>
      <x:c r="K9" s="105" t="n">
        <x:f>J9/I9</x:f>
        <x:v>6.002590087446905</x:v>
      </x:c>
      <x:c r="L9" s="21" t="str"/>
    </x:row>
    <x:row r="12">
      <x:c r="A12" s="38" t="str">
        <x:v>Показатель</x:v>
      </x:c>
      <x:c r="B12" s="39" t="str">
        <x:v>Значение</x:v>
      </x:c>
      <x:c r="C12" s="57"/>
      <x:c r="D12" s="17"/>
    </x:row>
    <x:row r="13">
      <x:c r="A13" s="41" t="str">
        <x:v>λmax</x:v>
      </x:c>
      <x:c r="B13" s="103" t="n">
        <x:f>AVERAGE(K4:K9)</x:f>
        <x:v>6.0034491791904285</x:v>
      </x:c>
      <x:c r="C13" s="42"/>
      <x:c r="D13" s="19"/>
    </x:row>
    <x:row r="14">
      <x:c r="A14" s="41" t="str">
        <x:v>CI</x:v>
      </x:c>
      <x:c r="B14" s="103" t="n">
        <x:f>(B13-6)/5</x:f>
        <x:v>0.0006898358380857062</x:v>
      </x:c>
      <x:c r="C14" s="42"/>
      <x:c r="D14" s="19"/>
    </x:row>
    <x:row r="15">
      <x:c r="A15" s="41" t="str">
        <x:v>RI (n=6)</x:v>
      </x:c>
      <x:c r="B15" s="103" t="n">
        <x:v>1.24</x:v>
      </x:c>
      <x:c r="C15" s="42"/>
      <x:c r="D15" s="19"/>
    </x:row>
    <x:row r="16">
      <x:c r="A16" s="43" t="str">
        <x:v>CR</x:v>
      </x:c>
      <x:c r="B16" s="105" t="n">
        <x:f>B14/B15</x:f>
        <x:v>0.0005563192242626663</x:v>
      </x:c>
      <x:c r="C16" s="123" t="str">
        <x:v>Критерий приемлемости</x:v>
      </x:c>
      <x:c r="D16" s="124" t="str">
        <x:v>CR &lt; 0,10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9" t="str">
        <x:v>Коллективный МАИ — локальные приоритеты альтернатив</x:v>
      </x:c>
      <x:c r="B1" s="89"/>
      <x:c r="C1" s="89"/>
      <x:c r="D1" s="89"/>
      <x:c r="E1" s="89"/>
      <x:c r="F1" s="89"/>
      <x:c r="G1" s="89"/>
      <x:c r="H1" s="89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14" t="str">
        <x:v>C1. Практическая полезность (выгода)</x:v>
      </x:c>
      <x:c r="B3" s="14"/>
      <x:c r="C3" s="14"/>
      <x:c r="D3" s="14"/>
      <x:c r="E3" s="14"/>
      <x:c r="F3" s="14"/>
      <x:c r="G3" s="14"/>
      <x:c r="H3" s="14"/>
    </x:row>
    <x:row r="4">
      <x:c r="A4" s="38"/>
      <x:c r="B4" s="39" t="str">
        <x:v>A1</x:v>
      </x:c>
      <x:c r="C4" s="39" t="str">
        <x:v>A2</x:v>
      </x:c>
      <x:c r="D4" s="39" t="str">
        <x:v>A3</x:v>
      </x:c>
      <x:c r="E4" s="39" t="str">
        <x:v>A4</x:v>
      </x:c>
      <x:c r="F4" s="39" t="str">
        <x:v>GM</x:v>
      </x:c>
      <x:c r="G4" s="39" t="str">
        <x:v>Лок. вес</x:v>
      </x:c>
      <x:c r="H4" s="40" t="str">
        <x:v>λi</x:v>
      </x:c>
    </x:row>
    <x:row r="5">
      <x:c r="A5" s="119" t="str">
        <x:v>A1</x:v>
      </x:c>
      <x:c r="B5" s="111" t="n">
        <x:f>POWER((IF('Оценки_альтернатив'!E4='Оценки_альтернатив'!E4,1,IF('Оценки_альтернатив'!E4&gt;'Оценки_альтернатив'!E4,MIN(9,1+('Оценки_альтернатив'!E4-'Оценки_альтернатив'!E4)),1/MIN(9,1+('Оценки_альтернатив'!E4-'Оценки_альтернатив'!E4)))))*(IF('Оценки_альтернатив'!F4='Оценки_альтернатив'!F4,1,IF('Оценки_альтернатив'!F4&gt;'Оценки_альтернатив'!F4,MIN(9,1+('Оценки_альтернатив'!F4-'Оценки_альтернатив'!F4)),1/MIN(9,1+('Оценки_альтернатив'!F4-'Оценки_альтернатив'!F4)))))*(IF('Оценки_альтернатив'!G4='Оценки_альтернатив'!G4,1,IF('Оценки_альтернатив'!G4&gt;'Оценки_альтернатив'!G4,MIN(9,1+('Оценки_альтернатив'!G4-'Оценки_альтернатив'!G4)),1/MIN(9,1+('Оценки_альтернатив'!G4-'Оценки_альтернатив'!G4)))))*(IF('Оценки_альтернатив'!H4='Оценки_альтернатив'!H4,1,IF('Оценки_альтернатив'!H4&gt;'Оценки_альтернатив'!H4,MIN(9,1+('Оценки_альтернатив'!H4-'Оценки_альтернатив'!H4)),1/MIN(9,1+('Оценки_альтернатив'!H4-'Оценки_альтернатив'!H4))))),1/4)</x:f>
        <x:v>1</x:v>
      </x:c>
      <x:c r="C5" s="111" t="n">
        <x:f>POWER((IF('Оценки_альтернатив'!E4='Оценки_альтернатив'!E5,1,IF('Оценки_альтернатив'!E4&gt;'Оценки_альтернатив'!E5,MIN(9,1+('Оценки_альтернатив'!E4-'Оценки_альтернатив'!E5)),1/MIN(9,1+('Оценки_альтернатив'!E5-'Оценки_альтернатив'!E4)))))*(IF('Оценки_альтернатив'!F4='Оценки_альтернатив'!F5,1,IF('Оценки_альтернатив'!F4&gt;'Оценки_альтернатив'!F5,MIN(9,1+('Оценки_альтернатив'!F4-'Оценки_альтернатив'!F5)),1/MIN(9,1+('Оценки_альтернатив'!F5-'Оценки_альтернатив'!F4)))))*(IF('Оценки_альтернатив'!G4='Оценки_альтернатив'!G5,1,IF('Оценки_альтернатив'!G4&gt;'Оценки_альтернатив'!G5,MIN(9,1+('Оценки_альтернатив'!G4-'Оценки_альтернатив'!G5)),1/MIN(9,1+('Оценки_альтернатив'!G5-'Оценки_альтернатив'!G4)))))*(IF('Оценки_альтернатив'!H4='Оценки_альтернатив'!H5,1,IF('Оценки_альтернатив'!H4&gt;'Оценки_альтернатив'!H5,MIN(9,1+('Оценки_альтернатив'!H4-'Оценки_альтернатив'!H5)),1/MIN(9,1+('Оценки_альтернатив'!H5-'Оценки_альтернатив'!H4))))),1/4)</x:f>
        <x:v>1.189207115002721</x:v>
      </x:c>
      <x:c r="D5" s="111" t="n">
        <x:f>POWER((IF('Оценки_альтернатив'!E4='Оценки_альтернатив'!E6,1,IF('Оценки_альтернатив'!E4&gt;'Оценки_альтернатив'!E6,MIN(9,1+('Оценки_альтернатив'!E4-'Оценки_альтернатив'!E6)),1/MIN(9,1+('Оценки_альтернатив'!E6-'Оценки_альтернатив'!E4)))))*(IF('Оценки_альтернатив'!F4='Оценки_альтернатив'!F6,1,IF('Оценки_альтернатив'!F4&gt;'Оценки_альтернатив'!F6,MIN(9,1+('Оценки_альтернатив'!F4-'Оценки_альтернатив'!F6)),1/MIN(9,1+('Оценки_альтернатив'!F6-'Оценки_альтернатив'!F4)))))*(IF('Оценки_альтернатив'!G4='Оценки_альтернатив'!G6,1,IF('Оценки_альтернатив'!G4&gt;'Оценки_альтернатив'!G6,MIN(9,1+('Оценки_альтернатив'!G4-'Оценки_альтернатив'!G6)),1/MIN(9,1+('Оценки_альтернатив'!G6-'Оценки_альтернатив'!G4)))))*(IF('Оценки_альтернатив'!H4='Оценки_альтернатив'!H6,1,IF('Оценки_альтернатив'!H4&gt;'Оценки_альтернатив'!H6,MIN(9,1+('Оценки_альтернатив'!H4-'Оценки_альтернатив'!H6)),1/MIN(9,1+('Оценки_альтернатив'!H6-'Оценки_альтернатив'!H4))))),1/4)</x:f>
        <x:v>1.4142135623730951</x:v>
      </x:c>
      <x:c r="E5" s="111" t="n">
        <x:f>POWER((IF('Оценки_альтернатив'!E4='Оценки_альтернатив'!E7,1,IF('Оценки_альтернатив'!E4&gt;'Оценки_альтернатив'!E7,MIN(9,1+('Оценки_альтернатив'!E4-'Оценки_альтернатив'!E7)),1/MIN(9,1+('Оценки_альтернатив'!E7-'Оценки_альтернатив'!E4)))))*(IF('Оценки_альтернатив'!F4='Оценки_альтернатив'!F7,1,IF('Оценки_альтернатив'!F4&gt;'Оценки_альтернатив'!F7,MIN(9,1+('Оценки_альтернатив'!F4-'Оценки_альтернатив'!F7)),1/MIN(9,1+('Оценки_альтернатив'!F7-'Оценки_альтернатив'!F4)))))*(IF('Оценки_альтернатив'!G4='Оценки_альтернатив'!G7,1,IF('Оценки_альтернатив'!G4&gt;'Оценки_альтернатив'!G7,MIN(9,1+('Оценки_альтернатив'!G4-'Оценки_альтернатив'!G7)),1/MIN(9,1+('Оценки_альтернатив'!G7-'Оценки_альтернатив'!G4)))))*(IF('Оценки_альтернатив'!H4='Оценки_альтернатив'!H7,1,IF('Оценки_альтернатив'!H4&gt;'Оценки_альтернатив'!H7,MIN(9,1+('Оценки_альтернатив'!H4-'Оценки_альтернатив'!H7)),1/MIN(9,1+('Оценки_альтернатив'!H7-'Оценки_альтернатив'!H4))))),1/4)</x:f>
        <x:v>2</x:v>
      </x:c>
      <x:c r="F5" s="111" t="n">
        <x:f>PRODUCT(B5:E5)^(1/4)</x:f>
        <x:v>1.3542555469368927</x:v>
      </x:c>
      <x:c r="G5" s="111" t="n">
        <x:f>F5/SUM($F$5:$F$8)</x:f>
        <x:v>0.3287213447925807</x:v>
      </x:c>
      <x:c r="H5" s="112" t="n">
        <x:f>(B5*$G$5+C5*$G$6+D5*$G$7+E5*$G$8)/G5</x:f>
        <x:v>4.000323293767382</x:v>
      </x:c>
    </x:row>
    <x:row r="6">
      <x:c r="A6" s="119" t="str">
        <x:v>A2</x:v>
      </x:c>
      <x:c r="B6" s="111" t="n">
        <x:f>POWER((IF('Оценки_альтернатив'!E5='Оценки_альтернатив'!E4,1,IF('Оценки_альтернатив'!E5&gt;'Оценки_альтернатив'!E4,MIN(9,1+('Оценки_альтернатив'!E5-'Оценки_альтернатив'!E4)),1/MIN(9,1+('Оценки_альтернатив'!E4-'Оценки_альтернатив'!E5)))))*(IF('Оценки_альтернатив'!F5='Оценки_альтернатив'!F4,1,IF('Оценки_альтернатив'!F5&gt;'Оценки_альтернатив'!F4,MIN(9,1+('Оценки_альтернатив'!F5-'Оценки_альтернатив'!F4)),1/MIN(9,1+('Оценки_альтернатив'!F4-'Оценки_альтернатив'!F5)))))*(IF('Оценки_альтернатив'!G5='Оценки_альтернатив'!G4,1,IF('Оценки_альтернатив'!G5&gt;'Оценки_альтернатив'!G4,MIN(9,1+('Оценки_альтернатив'!G5-'Оценки_альтернатив'!G4)),1/MIN(9,1+('Оценки_альтернатив'!G4-'Оценки_альтернатив'!G5)))))*(IF('Оценки_альтернатив'!H5='Оценки_альтернатив'!H4,1,IF('Оценки_альтернатив'!H5&gt;'Оценки_альтернатив'!H4,MIN(9,1+('Оценки_альтернатив'!H5-'Оценки_альтернатив'!H4)),1/MIN(9,1+('Оценки_альтернатив'!H4-'Оценки_альтернатив'!H5))))),1/4)</x:f>
        <x:v>0.8408964152537145</x:v>
      </x:c>
      <x:c r="C6" s="111" t="n">
        <x:f>POWER((IF('Оценки_альтернатив'!E5='Оценки_альтернатив'!E5,1,IF('Оценки_альтернатив'!E5&gt;'Оценки_альтернатив'!E5,MIN(9,1+('Оценки_альтернатив'!E5-'Оценки_альтернатив'!E5)),1/MIN(9,1+('Оценки_альтернатив'!E5-'Оценки_альтернатив'!E5)))))*(IF('Оценки_альтернатив'!F5='Оценки_альтернатив'!F5,1,IF('Оценки_альтернатив'!F5&gt;'Оценки_альтернатив'!F5,MIN(9,1+('Оценки_альтернатив'!F5-'Оценки_альтернатив'!F5)),1/MIN(9,1+('Оценки_альтернатив'!F5-'Оценки_альтернатив'!F5)))))*(IF('Оценки_альтернатив'!G5='Оценки_альтернатив'!G5,1,IF('Оценки_альтернатив'!G5&gt;'Оценки_альтернатив'!G5,MIN(9,1+('Оценки_альтернатив'!G5-'Оценки_альтернатив'!G5)),1/MIN(9,1+('Оценки_альтернатив'!G5-'Оценки_альтернатив'!G5)))))*(IF('Оценки_альтернатив'!H5='Оценки_альтернатив'!H5,1,IF('Оценки_альтернатив'!H5&gt;'Оценки_альтернатив'!H5,MIN(9,1+('Оценки_альтернатив'!H5-'Оценки_альтернатив'!H5)),1/MIN(9,1+('Оценки_альтернатив'!H5-'Оценки_альтернатив'!H5))))),1/4)</x:f>
        <x:v>1</x:v>
      </x:c>
      <x:c r="D6" s="111" t="n">
        <x:f>POWER((IF('Оценки_альтернатив'!E5='Оценки_альтернатив'!E6,1,IF('Оценки_альтернатив'!E5&gt;'Оценки_альтернатив'!E6,MIN(9,1+('Оценки_альтернатив'!E5-'Оценки_альтернатив'!E6)),1/MIN(9,1+('Оценки_альтернатив'!E6-'Оценки_альтернатив'!E5)))))*(IF('Оценки_альтернатив'!F5='Оценки_альтернатив'!F6,1,IF('Оценки_альтернатив'!F5&gt;'Оценки_альтернатив'!F6,MIN(9,1+('Оценки_альтернатив'!F5-'Оценки_альтернатив'!F6)),1/MIN(9,1+('Оценки_альтернатив'!F6-'Оценки_альтернатив'!F5)))))*(IF('Оценки_альтернатив'!G5='Оценки_альтернатив'!G6,1,IF('Оценки_альтернатив'!G5&gt;'Оценки_альтернатив'!G6,MIN(9,1+('Оценки_альтернатив'!G5-'Оценки_альтернатив'!G6)),1/MIN(9,1+('Оценки_альтернатив'!G6-'Оценки_альтернатив'!G5)))))*(IF('Оценки_альтернатив'!H5='Оценки_альтернатив'!H6,1,IF('Оценки_альтернатив'!H5&gt;'Оценки_альтернатив'!H6,MIN(9,1+('Оценки_альтернатив'!H5-'Оценки_альтернатив'!H6)),1/MIN(9,1+('Оценки_альтернатив'!H6-'Оценки_альтернатив'!H5))))),1/4)</x:f>
        <x:v>1.189207115002721</x:v>
      </x:c>
      <x:c r="E6" s="111" t="n">
        <x:f>POWER((IF('Оценки_альтернатив'!E5='Оценки_альтернатив'!E7,1,IF('Оценки_альтернатив'!E5&gt;'Оценки_альтернатив'!E7,MIN(9,1+('Оценки_альтернатив'!E5-'Оценки_альтернатив'!E7)),1/MIN(9,1+('Оценки_альтернатив'!E7-'Оценки_альтернатив'!E5)))))*(IF('Оценки_альтернатив'!F5='Оценки_альтернатив'!F7,1,IF('Оценки_альтернатив'!F5&gt;'Оценки_альтернатив'!F7,MIN(9,1+('Оценки_альтернатив'!F5-'Оценки_альтернатив'!F7)),1/MIN(9,1+('Оценки_альтернатив'!F7-'Оценки_альтернатив'!F5)))))*(IF('Оценки_альтернатив'!G5='Оценки_альтернатив'!G7,1,IF('Оценки_альтернатив'!G5&gt;'Оценки_альтернатив'!G7,MIN(9,1+('Оценки_альтернатив'!G5-'Оценки_альтернатив'!G7)),1/MIN(9,1+('Оценки_альтернатив'!G7-'Оценки_альтернатив'!G5)))))*(IF('Оценки_альтернатив'!H5='Оценки_альтернатив'!H7,1,IF('Оценки_альтернатив'!H5&gt;'Оценки_альтернатив'!H7,MIN(9,1+('Оценки_альтернатив'!H5-'Оценки_альтернатив'!H7)),1/MIN(9,1+('Оценки_альтернатив'!H7-'Оценки_альтернатив'!H5))))),1/4)</x:f>
        <x:v>1.5650845800732873</x:v>
      </x:c>
      <x:c r="F6" s="111" t="n">
        <x:f>PRODUCT(B6:E6)^(1/4)</x:f>
        <x:v>1.1184960459738218</x:v>
      </x:c>
      <x:c r="G6" s="111" t="n">
        <x:f>F6/SUM($F$5:$F$8)</x:f>
        <x:v>0.2714949369853548</x:v>
      </x:c>
      <x:c r="H6" s="112" t="n">
        <x:f>(B6*$G$5+C6*$G$6+D6*$G$7+E6*$G$8)/G6</x:f>
        <x:v>4.000964120384555</x:v>
      </x:c>
    </x:row>
    <x:row r="7">
      <x:c r="A7" s="119" t="str">
        <x:v>A3</x:v>
      </x:c>
      <x:c r="B7" s="111" t="n">
        <x:f>POWER((IF('Оценки_альтернатив'!E6='Оценки_альтернатив'!E4,1,IF('Оценки_альтернатив'!E6&gt;'Оценки_альтернатив'!E4,MIN(9,1+('Оценки_альтернатив'!E6-'Оценки_альтернатив'!E4)),1/MIN(9,1+('Оценки_альтернатив'!E4-'Оценки_альтернатив'!E6)))))*(IF('Оценки_альтернатив'!F6='Оценки_альтернатив'!F4,1,IF('Оценки_альтернатив'!F6&gt;'Оценки_альтернатив'!F4,MIN(9,1+('Оценки_альтернатив'!F6-'Оценки_альтернатив'!F4)),1/MIN(9,1+('Оценки_альтернатив'!F4-'Оценки_альтернатив'!F6)))))*(IF('Оценки_альтернатив'!G6='Оценки_альтернатив'!G4,1,IF('Оценки_альтернатив'!G6&gt;'Оценки_альтернатив'!G4,MIN(9,1+('Оценки_альтернатив'!G6-'Оценки_альтернатив'!G4)),1/MIN(9,1+('Оценки_альтернатив'!G4-'Оценки_альтернатив'!G6)))))*(IF('Оценки_альтернатив'!H6='Оценки_альтернатив'!H4,1,IF('Оценки_альтернатив'!H6&gt;'Оценки_альтернатив'!H4,MIN(9,1+('Оценки_альтернатив'!H6-'Оценки_альтернатив'!H4)),1/MIN(9,1+('Оценки_альтернатив'!H4-'Оценки_альтернатив'!H6))))),1/4)</x:f>
        <x:v>0.7071067811865476</x:v>
      </x:c>
      <x:c r="C7" s="111" t="n">
        <x:f>POWER((IF('Оценки_альтернатив'!E6='Оценки_альтернатив'!E5,1,IF('Оценки_альтернатив'!E6&gt;'Оценки_альтернатив'!E5,MIN(9,1+('Оценки_альтернатив'!E6-'Оценки_альтернатив'!E5)),1/MIN(9,1+('Оценки_альтернатив'!E5-'Оценки_альтернатив'!E6)))))*(IF('Оценки_альтернатив'!F6='Оценки_альтернатив'!F5,1,IF('Оценки_альтернатив'!F6&gt;'Оценки_альтернатив'!F5,MIN(9,1+('Оценки_альтернатив'!F6-'Оценки_альтернатив'!F5)),1/MIN(9,1+('Оценки_альтернатив'!F5-'Оценки_альтернатив'!F6)))))*(IF('Оценки_альтернатив'!G6='Оценки_альтернатив'!G5,1,IF('Оценки_альтернатив'!G6&gt;'Оценки_альтернатив'!G5,MIN(9,1+('Оценки_альтернатив'!G6-'Оценки_альтернатив'!G5)),1/MIN(9,1+('Оценки_альтернатив'!G5-'Оценки_альтернатив'!G6)))))*(IF('Оценки_альтернатив'!H6='Оценки_альтернатив'!H5,1,IF('Оценки_альтернатив'!H6&gt;'Оценки_альтернатив'!H5,MIN(9,1+('Оценки_альтернатив'!H6-'Оценки_альтернатив'!H5)),1/MIN(9,1+('Оценки_альтернатив'!H5-'Оценки_альтернатив'!H6))))),1/4)</x:f>
        <x:v>0.8408964152537145</x:v>
      </x:c>
      <x:c r="D7" s="111" t="n">
        <x:f>POWER((IF('Оценки_альтернатив'!E6='Оценки_альтернатив'!E6,1,IF('Оценки_альтернатив'!E6&gt;'Оценки_альтернатив'!E6,MIN(9,1+('Оценки_альтернатив'!E6-'Оценки_альтернатив'!E6)),1/MIN(9,1+('Оценки_альтернатив'!E6-'Оценки_альтернатив'!E6)))))*(IF('Оценки_альтернатив'!F6='Оценки_альтернатив'!F6,1,IF('Оценки_альтернатив'!F6&gt;'Оценки_альтернатив'!F6,MIN(9,1+('Оценки_альтернатив'!F6-'Оценки_альтернатив'!F6)),1/MIN(9,1+('Оценки_альтернатив'!F6-'Оценки_альтернатив'!F6)))))*(IF('Оценки_альтернатив'!G6='Оценки_альтернатив'!G6,1,IF('Оценки_альтернатив'!G6&gt;'Оценки_альтернатив'!G6,MIN(9,1+('Оценки_альтернатив'!G6-'Оценки_альтернатив'!G6)),1/MIN(9,1+('Оценки_альтернатив'!G6-'Оценки_альтернатив'!G6)))))*(IF('Оценки_альтернатив'!H6='Оценки_альтернатив'!H6,1,IF('Оценки_альтернатив'!H6&gt;'Оценки_альтернатив'!H6,MIN(9,1+('Оценки_альтернатив'!H6-'Оценки_альтернатив'!H6)),1/MIN(9,1+('Оценки_альтернатив'!H6-'Оценки_альтернатив'!H6))))),1/4)</x:f>
        <x:v>1</x:v>
      </x:c>
      <x:c r="E7" s="111" t="n">
        <x:f>POWER((IF('Оценки_альтернатив'!E6='Оценки_альтернатив'!E7,1,IF('Оценки_альтернатив'!E6&gt;'Оценки_альтернатив'!E7,MIN(9,1+('Оценки_альтернатив'!E6-'Оценки_альтернатив'!E7)),1/MIN(9,1+('Оценки_альтернатив'!E7-'Оценки_альтернатив'!E6)))))*(IF('Оценки_альтернатив'!F6='Оценки_альтернатив'!F7,1,IF('Оценки_альтернатив'!F6&gt;'Оценки_альтернатив'!F7,MIN(9,1+('Оценки_альтернатив'!F6-'Оценки_альтернатив'!F7)),1/MIN(9,1+('Оценки_альтернатив'!F7-'Оценки_альтернатив'!F6)))))*(IF('Оценки_альтернатив'!G6='Оценки_альтернатив'!G7,1,IF('Оценки_альтернатив'!G6&gt;'Оценки_альтернатив'!G7,MIN(9,1+('Оценки_альтернатив'!G6-'Оценки_альтернатив'!G7)),1/MIN(9,1+('Оценки_альтернатив'!G7-'Оценки_альтернатив'!G6)))))*(IF('Оценки_альтернатив'!H6='Оценки_альтернатив'!H7,1,IF('Оценки_альтернатив'!H6&gt;'Оценки_альтернатив'!H7,MIN(9,1+('Оценки_альтернатив'!H6-'Оценки_альтернатив'!H7)),1/MIN(9,1+('Оценки_альтернатив'!H7-'Оценки_альтернатив'!H6))))),1/4)</x:f>
        <x:v>1.4142135623730951</x:v>
      </x:c>
      <x:c r="F7" s="111" t="n">
        <x:f>PRODUCT(B7:E7)^(1/4)</x:f>
        <x:v>0.9576032806985737</x:v>
      </x:c>
      <x:c r="G7" s="111" t="n">
        <x:f>F7/SUM($F$5:$F$8)</x:f>
        <x:v>0.23244109202359503</x:v>
      </x:c>
      <x:c r="H7" s="112" t="n">
        <x:f>(B7*$G$5+C7*$G$6+D7*$G$7+E7*$G$8)/G7</x:f>
        <x:v>4.000323293767382</x:v>
      </x:c>
    </x:row>
    <x:row r="8">
      <x:c r="A8" s="120" t="str">
        <x:v>A4</x:v>
      </x:c>
      <x:c r="B8" s="113" t="n">
        <x:f>POWER((IF('Оценки_альтернатив'!E7='Оценки_альтернатив'!E4,1,IF('Оценки_альтернатив'!E7&gt;'Оценки_альтернатив'!E4,MIN(9,1+('Оценки_альтернатив'!E7-'Оценки_альтернатив'!E4)),1/MIN(9,1+('Оценки_альтернатив'!E4-'Оценки_альтернатив'!E7)))))*(IF('Оценки_альтернатив'!F7='Оценки_альтернатив'!F4,1,IF('Оценки_альтернатив'!F7&gt;'Оценки_альтернатив'!F4,MIN(9,1+('Оценки_альтернатив'!F7-'Оценки_альтернатив'!F4)),1/MIN(9,1+('Оценки_альтернатив'!F4-'Оценки_альтернатив'!F7)))))*(IF('Оценки_альтернатив'!G7='Оценки_альтернатив'!G4,1,IF('Оценки_альтернатив'!G7&gt;'Оценки_альтернатив'!G4,MIN(9,1+('Оценки_альтернатив'!G7-'Оценки_альтернатив'!G4)),1/MIN(9,1+('Оценки_альтернатив'!G4-'Оценки_альтернатив'!G7)))))*(IF('Оценки_альтернатив'!H7='Оценки_альтернатив'!H4,1,IF('Оценки_альтернатив'!H7&gt;'Оценки_альтернатив'!H4,MIN(9,1+('Оценки_альтернатив'!H7-'Оценки_альтернатив'!H4)),1/MIN(9,1+('Оценки_альтернатив'!H4-'Оценки_альтернатив'!H7))))),1/4)</x:f>
        <x:v>0.5</x:v>
      </x:c>
      <x:c r="C8" s="113" t="n">
        <x:f>POWER((IF('Оценки_альтернатив'!E7='Оценки_альтернатив'!E5,1,IF('Оценки_альтернатив'!E7&gt;'Оценки_альтернатив'!E5,MIN(9,1+('Оценки_альтернатив'!E7-'Оценки_альтернатив'!E5)),1/MIN(9,1+('Оценки_альтернатив'!E5-'Оценки_альтернатив'!E7)))))*(IF('Оценки_альтернатив'!F7='Оценки_альтернатив'!F5,1,IF('Оценки_альтернатив'!F7&gt;'Оценки_альтернатив'!F5,MIN(9,1+('Оценки_альтернатив'!F7-'Оценки_альтернатив'!F5)),1/MIN(9,1+('Оценки_альтернатив'!F5-'Оценки_альтернатив'!F7)))))*(IF('Оценки_альтернатив'!G7='Оценки_альтернатив'!G5,1,IF('Оценки_альтернатив'!G7&gt;'Оценки_альтернатив'!G5,MIN(9,1+('Оценки_альтернатив'!G7-'Оценки_альтернатив'!G5)),1/MIN(9,1+('Оценки_альтернатив'!G5-'Оценки_альтернатив'!G7)))))*(IF('Оценки_альтернатив'!H7='Оценки_альтернатив'!H5,1,IF('Оценки_альтернатив'!H7&gt;'Оценки_альтернатив'!H5,MIN(9,1+('Оценки_альтернатив'!H7-'Оценки_альтернатив'!H5)),1/MIN(9,1+('Оценки_альтернатив'!H5-'Оценки_альтернатив'!H7))))),1/4)</x:f>
        <x:v>0.6389431042462724</x:v>
      </x:c>
      <x:c r="D8" s="113" t="n">
        <x:f>POWER((IF('Оценки_альтернатив'!E7='Оценки_альтернатив'!E6,1,IF('Оценки_альтернатив'!E7&gt;'Оценки_альтернатив'!E6,MIN(9,1+('Оценки_альтернатив'!E7-'Оценки_альтернатив'!E6)),1/MIN(9,1+('Оценки_альтернатив'!E6-'Оценки_альтернатив'!E7)))))*(IF('Оценки_альтернатив'!F7='Оценки_альтернатив'!F6,1,IF('Оценки_альтернатив'!F7&gt;'Оценки_альтернатив'!F6,MIN(9,1+('Оценки_альтернатив'!F7-'Оценки_альтернатив'!F6)),1/MIN(9,1+('Оценки_альтернатив'!F6-'Оценки_альтернатив'!F7)))))*(IF('Оценки_альтернатив'!G7='Оценки_альтернатив'!G6,1,IF('Оценки_альтернатив'!G7&gt;'Оценки_альтернатив'!G6,MIN(9,1+('Оценки_альтернатив'!G7-'Оценки_альтернатив'!G6)),1/MIN(9,1+('Оценки_альтернатив'!G6-'Оценки_альтернатив'!G7)))))*(IF('Оценки_альтернатив'!H7='Оценки_альтернатив'!H6,1,IF('Оценки_альтернатив'!H7&gt;'Оценки_альтернатив'!H6,MIN(9,1+('Оценки_альтернатив'!H7-'Оценки_альтернатив'!H6)),1/MIN(9,1+('Оценки_альтернатив'!H6-'Оценки_альтернатив'!H7))))),1/4)</x:f>
        <x:v>0.7071067811865476</x:v>
      </x:c>
      <x:c r="E8" s="113" t="n">
        <x:f>POWER((IF('Оценки_альтернатив'!E7='Оценки_альтернатив'!E7,1,IF('Оценки_альтернатив'!E7&gt;'Оценки_альтернатив'!E7,MIN(9,1+('Оценки_альтернатив'!E7-'Оценки_альтернатив'!E7)),1/MIN(9,1+('Оценки_альтернатив'!E7-'Оценки_альтернатив'!E7)))))*(IF('Оценки_альтернатив'!F7='Оценки_альтернатив'!F7,1,IF('Оценки_альтернатив'!F7&gt;'Оценки_альтернатив'!F7,MIN(9,1+('Оценки_альтернатив'!F7-'Оценки_альтернатив'!F7)),1/MIN(9,1+('Оценки_альтернатив'!F7-'Оценки_альтернатив'!F7)))))*(IF('Оценки_альтернатив'!G7='Оценки_альтернатив'!G7,1,IF('Оценки_альтернатив'!G7&gt;'Оценки_альтернатив'!G7,MIN(9,1+('Оценки_альтернатив'!G7-'Оценки_альтернатив'!G7)),1/MIN(9,1+('Оценки_альтернатив'!G7-'Оценки_альтернатив'!G7)))))*(IF('Оценки_альтернатив'!H7='Оценки_альтернатив'!H7,1,IF('Оценки_альтернатив'!H7&gt;'Оценки_альтернатив'!H7,MIN(9,1+('Оценки_альтернатив'!H7-'Оценки_альтернатив'!H7)),1/MIN(9,1+('Оценки_альтернатив'!H7-'Оценки_альтернатив'!H7))))),1/4)</x:f>
        <x:v>1</x:v>
      </x:c>
      <x:c r="F8" s="113" t="n">
        <x:f>PRODUCT(B8:E8)^(1/4)</x:f>
        <x:v>0.6894127301385363</x:v>
      </x:c>
      <x:c r="G8" s="113" t="n">
        <x:f>F8/SUM($F$5:$F$8)</x:f>
        <x:v>0.16734262619846943</x:v>
      </x:c>
      <x:c r="H8" s="114" t="n">
        <x:f>(B8*$G$5+C8*$G$6+D8*$G$7+E8*$G$8)/G8</x:f>
        <x:v>4.000975746738596</x:v>
      </x:c>
    </x:row>
    <x:row r="9">
      <x:c r="A9" s="60"/>
      <x:c r="B9" s="60"/>
      <x:c r="C9" s="60"/>
      <x:c r="D9" s="60"/>
      <x:c r="E9" s="60"/>
      <x:c r="F9" s="60"/>
      <x:c r="G9" s="60"/>
      <x:c r="H9" s="60"/>
    </x:row>
    <x:row r="10">
      <x:c r="A10" s="38" t="str">
        <x:v>λmax</x:v>
      </x:c>
      <x:c r="B10" s="39" t="str">
        <x:v>CI</x:v>
      </x:c>
      <x:c r="C10" s="39" t="str">
        <x:v>RI</x:v>
      </x:c>
      <x:c r="D10" s="40" t="str">
        <x:v>CR</x:v>
      </x:c>
      <x:c r="E10" s="60"/>
      <x:c r="F10" s="60"/>
      <x:c r="G10" s="60"/>
      <x:c r="H10" s="60"/>
    </x:row>
    <x:row r="11">
      <x:c r="A11" s="129" t="n">
        <x:f>AVERAGE(H5:H8)</x:f>
        <x:v>4.000646613664479</x:v>
      </x:c>
      <x:c r="B11" s="113" t="n">
        <x:f>(A11-4)/3</x:f>
        <x:v>0.0002155378881596448</x:v>
      </x:c>
      <x:c r="C11" s="113" t="n">
        <x:v>0.9</x:v>
      </x:c>
      <x:c r="D11" s="114" t="n">
        <x:f>B11/C11</x:f>
        <x:v>0.00023948654239960534</x:v>
      </x:c>
      <x:c r="E11" s="60"/>
      <x:c r="F11" s="60"/>
      <x:c r="G11" s="60"/>
      <x:c r="H11" s="60"/>
    </x:row>
    <x:row r="12">
      <x:c r="A12" s="60"/>
      <x:c r="B12" s="60"/>
      <x:c r="C12" s="60"/>
      <x:c r="D12" s="60"/>
      <x:c r="E12" s="60"/>
      <x:c r="F12" s="60"/>
      <x:c r="G12" s="60"/>
      <x:c r="H12" s="60"/>
    </x:row>
    <x:row r="13">
      <x:c r="A13" s="60"/>
      <x:c r="B13" s="60"/>
      <x:c r="C13" s="60"/>
      <x:c r="D13" s="60"/>
      <x:c r="E13" s="60"/>
      <x:c r="F13" s="60"/>
      <x:c r="G13" s="60"/>
      <x:c r="H13" s="60"/>
    </x:row>
    <x:row r="14">
      <x:c r="A14" s="14" t="str">
        <x:v>C2. Функциональная наполненность (выгода)</x:v>
      </x:c>
      <x:c r="B14" s="14"/>
      <x:c r="C14" s="14"/>
      <x:c r="D14" s="14"/>
      <x:c r="E14" s="14"/>
      <x:c r="F14" s="14"/>
      <x:c r="G14" s="14"/>
      <x:c r="H14" s="14"/>
    </x:row>
    <x:row r="15">
      <x:c r="A15" s="38"/>
      <x:c r="B15" s="39" t="str">
        <x:v>A1</x:v>
      </x:c>
      <x:c r="C15" s="39" t="str">
        <x:v>A2</x:v>
      </x:c>
      <x:c r="D15" s="39" t="str">
        <x:v>A3</x:v>
      </x:c>
      <x:c r="E15" s="39" t="str">
        <x:v>A4</x:v>
      </x:c>
      <x:c r="F15" s="39" t="str">
        <x:v>GM</x:v>
      </x:c>
      <x:c r="G15" s="39" t="str">
        <x:v>Лок. вес</x:v>
      </x:c>
      <x:c r="H15" s="40" t="str">
        <x:v>λi</x:v>
      </x:c>
    </x:row>
    <x:row r="16">
      <x:c r="A16" s="119" t="str">
        <x:v>A1</x:v>
      </x:c>
      <x:c r="B16" s="111" t="n">
        <x:f>POWER((IF('Оценки_альтернатив'!E8='Оценки_альтернатив'!E8,1,IF('Оценки_альтернатив'!E8&gt;'Оценки_альтернатив'!E8,MIN(9,1+('Оценки_альтернатив'!E8-'Оценки_альтернатив'!E8)),1/MIN(9,1+('Оценки_альтернатив'!E8-'Оценки_альтернатив'!E8)))))*(IF('Оценки_альтернатив'!F8='Оценки_альтернатив'!F8,1,IF('Оценки_альтернатив'!F8&gt;'Оценки_альтернатив'!F8,MIN(9,1+('Оценки_альтернатив'!F8-'Оценки_альтернатив'!F8)),1/MIN(9,1+('Оценки_альтернатив'!F8-'Оценки_альтернатив'!F8)))))*(IF('Оценки_альтернатив'!G8='Оценки_альтернатив'!G8,1,IF('Оценки_альтернатив'!G8&gt;'Оценки_альтернатив'!G8,MIN(9,1+('Оценки_альтернатив'!G8-'Оценки_альтернатив'!G8)),1/MIN(9,1+('Оценки_альтернатив'!G8-'Оценки_альтернатив'!G8)))))*(IF('Оценки_альтернатив'!H8='Оценки_альтернатив'!H8,1,IF('Оценки_альтернатив'!H8&gt;'Оценки_альтернатив'!H8,MIN(9,1+('Оценки_альтернатив'!H8-'Оценки_альтернатив'!H8)),1/MIN(9,1+('Оценки_альтернатив'!H8-'Оценки_альтернатив'!H8))))),1/4)</x:f>
        <x:v>1</x:v>
      </x:c>
      <x:c r="C16" s="111" t="n">
        <x:f>POWER((IF('Оценки_альтернатив'!E8='Оценки_альтернатив'!E9,1,IF('Оценки_альтернатив'!E8&gt;'Оценки_альтернатив'!E9,MIN(9,1+('Оценки_альтернатив'!E8-'Оценки_альтернатив'!E9)),1/MIN(9,1+('Оценки_альтернатив'!E9-'Оценки_альтернатив'!E8)))))*(IF('Оценки_альтернатив'!F8='Оценки_альтернатив'!F9,1,IF('Оценки_альтернатив'!F8&gt;'Оценки_альтернатив'!F9,MIN(9,1+('Оценки_альтернатив'!F8-'Оценки_альтернатив'!F9)),1/MIN(9,1+('Оценки_альтернатив'!F9-'Оценки_альтернатив'!F8)))))*(IF('Оценки_альтернатив'!G8='Оценки_альтернатив'!G9,1,IF('Оценки_альтернатив'!G8&gt;'Оценки_альтернатив'!G9,MIN(9,1+('Оценки_альтернатив'!G8-'Оценки_альтернатив'!G9)),1/MIN(9,1+('Оценки_альтернатив'!G9-'Оценки_альтернатив'!G8)))))*(IF('Оценки_альтернатив'!H8='Оценки_альтернатив'!H9,1,IF('Оценки_альтернатив'!H8&gt;'Оценки_альтернатив'!H9,MIN(9,1+('Оценки_альтернатив'!H8-'Оценки_альтернатив'!H9)),1/MIN(9,1+('Оценки_альтернатив'!H9-'Оценки_альтернатив'!H8))))),1/4)</x:f>
        <x:v>0.8408964152537145</x:v>
      </x:c>
      <x:c r="D16" s="111" t="n">
        <x:f>POWER((IF('Оценки_альтернатив'!E8='Оценки_альтернатив'!E10,1,IF('Оценки_альтернатив'!E8&gt;'Оценки_альтернатив'!E10,MIN(9,1+('Оценки_альтернатив'!E8-'Оценки_альтернатив'!E10)),1/MIN(9,1+('Оценки_альтернатив'!E10-'Оценки_альтернатив'!E8)))))*(IF('Оценки_альтернатив'!F8='Оценки_альтернатив'!F10,1,IF('Оценки_альтернатив'!F8&gt;'Оценки_альтернатив'!F10,MIN(9,1+('Оценки_альтернатив'!F8-'Оценки_альтернатив'!F10)),1/MIN(9,1+('Оценки_альтернатив'!F10-'Оценки_альтернатив'!F8)))))*(IF('Оценки_альтернатив'!G8='Оценки_альтернатив'!G10,1,IF('Оценки_альтернатив'!G8&gt;'Оценки_альтернатив'!G10,MIN(9,1+('Оценки_альтернатив'!G8-'Оценки_альтернатив'!G10)),1/MIN(9,1+('Оценки_альтернатив'!G10-'Оценки_альтернатив'!G8)))))*(IF('Оценки_альтернатив'!H8='Оценки_альтернатив'!H10,1,IF('Оценки_альтернатив'!H8&gt;'Оценки_альтернатив'!H10,MIN(9,1+('Оценки_альтернатив'!H8-'Оценки_альтернатив'!H10)),1/MIN(9,1+('Оценки_альтернатив'!H10-'Оценки_альтернатив'!H8))))),1/4)</x:f>
        <x:v>1.681792830507429</x:v>
      </x:c>
      <x:c r="E16" s="111" t="n">
        <x:f>POWER((IF('Оценки_альтернатив'!E8='Оценки_альтернатив'!E11,1,IF('Оценки_альтернатив'!E8&gt;'Оценки_альтернатив'!E11,MIN(9,1+('Оценки_альтернатив'!E8-'Оценки_альтернатив'!E11)),1/MIN(9,1+('Оценки_альтернатив'!E11-'Оценки_альтернатив'!E8)))))*(IF('Оценки_альтернатив'!F8='Оценки_альтернатив'!F11,1,IF('Оценки_альтернатив'!F8&gt;'Оценки_альтернатив'!F11,MIN(9,1+('Оценки_альтернатив'!F8-'Оценки_альтернатив'!F11)),1/MIN(9,1+('Оценки_альтернатив'!F11-'Оценки_альтернатив'!F8)))))*(IF('Оценки_альтернатив'!G8='Оценки_альтернатив'!G11,1,IF('Оценки_альтернатив'!G8&gt;'Оценки_альтернатив'!G11,MIN(9,1+('Оценки_альтернатив'!G8-'Оценки_альтернатив'!G11)),1/MIN(9,1+('Оценки_альтернатив'!G11-'Оценки_альтернатив'!G8)))))*(IF('Оценки_альтернатив'!H8='Оценки_альтернатив'!H11,1,IF('Оценки_альтернатив'!H8&gt;'Оценки_альтернатив'!H11,MIN(9,1+('Оценки_альтернатив'!H8-'Оценки_альтернатив'!H11)),1/MIN(9,1+('Оценки_альтернатив'!H11-'Оценки_альтернатив'!H8))))),1/4)</x:f>
        <x:v>1.681792830507429</x:v>
      </x:c>
      <x:c r="F16" s="111" t="n">
        <x:f>PRODUCT(B16:E16)^(1/4)</x:f>
        <x:v>1.241857812073484</x:v>
      </x:c>
      <x:c r="G16" s="111" t="n">
        <x:f>F16/SUM($F$16:$F$19)</x:f>
        <x:v>0.2977976121072669</x:v>
      </x:c>
      <x:c r="H16" s="112" t="n">
        <x:f>(B16*$G$16+C16*$G$17+D16*$G$18+E16*$G$19)/G16</x:f>
        <x:v>4.0009641203845545</x:v>
      </x:c>
    </x:row>
    <x:row r="17">
      <x:c r="A17" s="119" t="str">
        <x:v>A2</x:v>
      </x:c>
      <x:c r="B17" s="111" t="n">
        <x:f>POWER((IF('Оценки_альтернатив'!E9='Оценки_альтернатив'!E8,1,IF('Оценки_альтернатив'!E9&gt;'Оценки_альтернатив'!E8,MIN(9,1+('Оценки_альтернатив'!E9-'Оценки_альтернатив'!E8)),1/MIN(9,1+('Оценки_альтернатив'!E8-'Оценки_альтернатив'!E9)))))*(IF('Оценки_альтернатив'!F9='Оценки_альтернатив'!F8,1,IF('Оценки_альтернатив'!F9&gt;'Оценки_альтернатив'!F8,MIN(9,1+('Оценки_альтернатив'!F9-'Оценки_альтернатив'!F8)),1/MIN(9,1+('Оценки_альтернатив'!F8-'Оценки_альтернатив'!F9)))))*(IF('Оценки_альтернатив'!G9='Оценки_альтернатив'!G8,1,IF('Оценки_альтернатив'!G9&gt;'Оценки_альтернатив'!G8,MIN(9,1+('Оценки_альтернатив'!G9-'Оценки_альтернатив'!G8)),1/MIN(9,1+('Оценки_альтернатив'!G8-'Оценки_альтернатив'!G9)))))*(IF('Оценки_альтернатив'!H9='Оценки_альтернатив'!H8,1,IF('Оценки_альтернатив'!H9&gt;'Оценки_альтернатив'!H8,MIN(9,1+('Оценки_альтернатив'!H9-'Оценки_альтернатив'!H8)),1/MIN(9,1+('Оценки_альтернатив'!H8-'Оценки_альтернатив'!H9))))),1/4)</x:f>
        <x:v>1.189207115002721</x:v>
      </x:c>
      <x:c r="C17" s="111" t="n">
        <x:f>POWER((IF('Оценки_альтернатив'!E9='Оценки_альтернатив'!E9,1,IF('Оценки_альтернатив'!E9&gt;'Оценки_альтернатив'!E9,MIN(9,1+('Оценки_альтернатив'!E9-'Оценки_альтернатив'!E9)),1/MIN(9,1+('Оценки_альтернатив'!E9-'Оценки_альтернатив'!E9)))))*(IF('Оценки_альтернатив'!F9='Оценки_альтернатив'!F9,1,IF('Оценки_альтернатив'!F9&gt;'Оценки_альтернатив'!F9,MIN(9,1+('Оценки_альтернатив'!F9-'Оценки_альтернатив'!F9)),1/MIN(9,1+('Оценки_альтернатив'!F9-'Оценки_альтернатив'!F9)))))*(IF('Оценки_альтернатив'!G9='Оценки_альтернатив'!G9,1,IF('Оценки_альтернатив'!G9&gt;'Оценки_альтернатив'!G9,MIN(9,1+('Оценки_альтернатив'!G9-'Оценки_альтернатив'!G9)),1/MIN(9,1+('Оценки_альтернатив'!G9-'Оценки_альтернатив'!G9)))))*(IF('Оценки_альтернатив'!H9='Оценки_альтернатив'!H9,1,IF('Оценки_альтернатив'!H9&gt;'Оценки_альтернатив'!H9,MIN(9,1+('Оценки_альтернатив'!H9-'Оценки_альтернатив'!H9)),1/MIN(9,1+('Оценки_альтернатив'!H9-'Оценки_альтернатив'!H9))))),1/4)</x:f>
        <x:v>1</x:v>
      </x:c>
      <x:c r="D17" s="111" t="n">
        <x:f>POWER((IF('Оценки_альтернатив'!E9='Оценки_альтернатив'!E10,1,IF('Оценки_альтернатив'!E9&gt;'Оценки_альтернатив'!E10,MIN(9,1+('Оценки_альтернатив'!E9-'Оценки_альтернатив'!E10)),1/MIN(9,1+('Оценки_альтернатив'!E10-'Оценки_альтернатив'!E9)))))*(IF('Оценки_альтернатив'!F9='Оценки_альтернатив'!F10,1,IF('Оценки_альтернатив'!F9&gt;'Оценки_альтернатив'!F10,MIN(9,1+('Оценки_альтернатив'!F9-'Оценки_альтернатив'!F10)),1/MIN(9,1+('Оценки_альтернатив'!F10-'Оценки_альтернатив'!F9)))))*(IF('Оценки_альтернатив'!G9='Оценки_альтернатив'!G10,1,IF('Оценки_альтернатив'!G9&gt;'Оценки_альтернатив'!G10,MIN(9,1+('Оценки_альтернатив'!G9-'Оценки_альтернатив'!G10)),1/MIN(9,1+('Оценки_альтернатив'!G10-'Оценки_альтернатив'!G9)))))*(IF('Оценки_альтернатив'!H9='Оценки_альтернатив'!H10,1,IF('Оценки_альтернатив'!H9&gt;'Оценки_альтернатив'!H10,MIN(9,1+('Оценки_альтернатив'!H9-'Оценки_альтернатив'!H10)),1/MIN(9,1+('Оценки_альтернатив'!H10-'Оценки_альтернатив'!H9))))),1/4)</x:f>
        <x:v>1.8612097182041991</x:v>
      </x:c>
      <x:c r="E17" s="111" t="n">
        <x:f>POWER((IF('Оценки_альтернатив'!E9='Оценки_альтернатив'!E11,1,IF('Оценки_альтернатив'!E9&gt;'Оценки_альтернатив'!E11,MIN(9,1+('Оценки_альтернатив'!E9-'Оценки_альтернатив'!E11)),1/MIN(9,1+('Оценки_альтернатив'!E11-'Оценки_альтернатив'!E9)))))*(IF('Оценки_альтернатив'!F9='Оценки_альтернатив'!F11,1,IF('Оценки_альтернатив'!F9&gt;'Оценки_альтернатив'!F11,MIN(9,1+('Оценки_альтернатив'!F9-'Оценки_альтернатив'!F11)),1/MIN(9,1+('Оценки_альтернатив'!F11-'Оценки_альтернатив'!F9)))))*(IF('Оценки_альтернатив'!G9='Оценки_альтернатив'!G11,1,IF('Оценки_альтернатив'!G9&gt;'Оценки_альтернатив'!G11,MIN(9,1+('Оценки_альтернатив'!G9-'Оценки_альтернатив'!G11)),1/MIN(9,1+('Оценки_альтернатив'!G11-'Оценки_альтернатив'!G9)))))*(IF('Оценки_альтернатив'!H9='Оценки_альтернатив'!H11,1,IF('Оценки_альтернатив'!H9&gt;'Оценки_альтернатив'!H11,MIN(9,1+('Оценки_альтернатив'!H9-'Оценки_альтернатив'!H11)),1/MIN(9,1+('Оценки_альтернатив'!H11-'Оценки_альтернатив'!H9))))),1/4)</x:f>
        <x:v>1.8612097182041991</x:v>
      </x:c>
      <x:c r="F17" s="111" t="n">
        <x:f>PRODUCT(B17:E17)^(1/4)</x:f>
        <x:v>1.4246626231544801</x:v>
      </x:c>
      <x:c r="G17" s="111" t="n">
        <x:f>F17/SUM($F$16:$F$19)</x:f>
        <x:v>0.34163422181602754</x:v>
      </x:c>
      <x:c r="H17" s="112" t="n">
        <x:f>(B17*$G$16+C17*$G$17+D17*$G$18+E17*$G$19)/G17</x:f>
        <x:v>4.000975746738595</x:v>
      </x:c>
    </x:row>
    <x:row r="18">
      <x:c r="A18" s="119" t="str">
        <x:v>A3</x:v>
      </x:c>
      <x:c r="B18" s="111" t="n">
        <x:f>POWER((IF('Оценки_альтернатив'!E10='Оценки_альтернатив'!E8,1,IF('Оценки_альтернатив'!E10&gt;'Оценки_альтернатив'!E8,MIN(9,1+('Оценки_альтернатив'!E10-'Оценки_альтернатив'!E8)),1/MIN(9,1+('Оценки_альтернатив'!E8-'Оценки_альтернатив'!E10)))))*(IF('Оценки_альтернатив'!F10='Оценки_альтернатив'!F8,1,IF('Оценки_альтернатив'!F10&gt;'Оценки_альтернатив'!F8,MIN(9,1+('Оценки_альтернатив'!F10-'Оценки_альтернатив'!F8)),1/MIN(9,1+('Оценки_альтернатив'!F8-'Оценки_альтернатив'!F10)))))*(IF('Оценки_альтернатив'!G10='Оценки_альтернатив'!G8,1,IF('Оценки_альтернатив'!G10&gt;'Оценки_альтернатив'!G8,MIN(9,1+('Оценки_альтернатив'!G10-'Оценки_альтернатив'!G8)),1/MIN(9,1+('Оценки_альтернатив'!G8-'Оценки_альтернатив'!G10)))))*(IF('Оценки_альтернатив'!H10='Оценки_альтернатив'!H8,1,IF('Оценки_альтернатив'!H10&gt;'Оценки_альтернатив'!H8,MIN(9,1+('Оценки_альтернатив'!H10-'Оценки_альтернатив'!H8)),1/MIN(9,1+('Оценки_альтернатив'!H8-'Оценки_альтернатив'!H10))))),1/4)</x:f>
        <x:v>0.5946035575013605</x:v>
      </x:c>
      <x:c r="C18" s="111" t="n">
        <x:f>POWER((IF('Оценки_альтернатив'!E10='Оценки_альтернатив'!E9,1,IF('Оценки_альтернатив'!E10&gt;'Оценки_альтернатив'!E9,MIN(9,1+('Оценки_альтернатив'!E10-'Оценки_альтернатив'!E9)),1/MIN(9,1+('Оценки_альтернатив'!E9-'Оценки_альтернатив'!E10)))))*(IF('Оценки_альтернатив'!F10='Оценки_альтернатив'!F9,1,IF('Оценки_альтернатив'!F10&gt;'Оценки_альтернатив'!F9,MIN(9,1+('Оценки_альтернатив'!F10-'Оценки_альтернатив'!F9)),1/MIN(9,1+('Оценки_альтернатив'!F9-'Оценки_альтернатив'!F10)))))*(IF('Оценки_альтернатив'!G10='Оценки_альтернатив'!G9,1,IF('Оценки_альтернатив'!G10&gt;'Оценки_альтернатив'!G9,MIN(9,1+('Оценки_альтернатив'!G10-'Оценки_альтернатив'!G9)),1/MIN(9,1+('Оценки_альтернатив'!G9-'Оценки_альтернатив'!G10)))))*(IF('Оценки_альтернатив'!H10='Оценки_альтернатив'!H9,1,IF('Оценки_альтернатив'!H10&gt;'Оценки_альтернатив'!H9,MIN(9,1+('Оценки_альтернатив'!H10-'Оценки_альтернатив'!H9)),1/MIN(9,1+('Оценки_альтернатив'!H9-'Оценки_альтернатив'!H10))))),1/4)</x:f>
        <x:v>0.537284965911771</x:v>
      </x:c>
      <x:c r="D18" s="111" t="n">
        <x:f>POWER((IF('Оценки_альтернатив'!E10='Оценки_альтернатив'!E10,1,IF('Оценки_альтернатив'!E10&gt;'Оценки_альтернатив'!E10,MIN(9,1+('Оценки_альтернатив'!E10-'Оценки_альтернатив'!E10)),1/MIN(9,1+('Оценки_альтернатив'!E10-'Оценки_альтернатив'!E10)))))*(IF('Оценки_альтернатив'!F10='Оценки_альтернатив'!F10,1,IF('Оценки_альтернатив'!F10&gt;'Оценки_альтернатив'!F10,MIN(9,1+('Оценки_альтернатив'!F10-'Оценки_альтернатив'!F10)),1/MIN(9,1+('Оценки_альтернатив'!F10-'Оценки_альтернатив'!F10)))))*(IF('Оценки_альтернатив'!G10='Оценки_альтернатив'!G10,1,IF('Оценки_альтернатив'!G10&gt;'Оценки_альтернатив'!G10,MIN(9,1+('Оценки_альтернатив'!G10-'Оценки_альтернатив'!G10)),1/MIN(9,1+('Оценки_альтернатив'!G10-'Оценки_альтернатив'!G10)))))*(IF('Оценки_альтернатив'!H10='Оценки_альтернатив'!H10,1,IF('Оценки_альтернатив'!H10&gt;'Оценки_альтернатив'!H10,MIN(9,1+('Оценки_альтернатив'!H10-'Оценки_альтернатив'!H10)),1/MIN(9,1+('Оценки_альтернатив'!H10-'Оценки_альтернатив'!H10))))),1/4)</x:f>
        <x:v>1</x:v>
      </x:c>
      <x:c r="E18" s="111" t="n">
        <x:f>POWER((IF('Оценки_альтернатив'!E10='Оценки_альтернатив'!E11,1,IF('Оценки_альтернатив'!E10&gt;'Оценки_альтернатив'!E11,MIN(9,1+('Оценки_альтернатив'!E10-'Оценки_альтернатив'!E11)),1/MIN(9,1+('Оценки_альтернатив'!E11-'Оценки_альтернатив'!E10)))))*(IF('Оценки_альтернатив'!F10='Оценки_альтернатив'!F11,1,IF('Оценки_альтернатив'!F10&gt;'Оценки_альтернатив'!F11,MIN(9,1+('Оценки_альтернатив'!F10-'Оценки_альтернатив'!F11)),1/MIN(9,1+('Оценки_альтернатив'!F11-'Оценки_альтернатив'!F10)))))*(IF('Оценки_альтернатив'!G10='Оценки_альтернатив'!G11,1,IF('Оценки_альтернатив'!G10&gt;'Оценки_альтернатив'!G11,MIN(9,1+('Оценки_альтернатив'!G10-'Оценки_альтернатив'!G11)),1/MIN(9,1+('Оценки_альтернатив'!G11-'Оценки_альтернатив'!G10)))))*(IF('Оценки_альтернатив'!H10='Оценки_альтернатив'!H11,1,IF('Оценки_альтернатив'!H10&gt;'Оценки_альтернатив'!H11,MIN(9,1+('Оценки_альтернатив'!H10-'Оценки_альтернатив'!H11)),1/MIN(9,1+('Оценки_альтернатив'!H11-'Оценки_альтернатив'!H10))))),1/4)</x:f>
        <x:v>1</x:v>
      </x:c>
      <x:c r="F18" s="111" t="n">
        <x:f>PRODUCT(B18:E18)^(1/4)</x:f>
        <x:v>0.7518099132139404</x:v>
      </x:c>
      <x:c r="G18" s="111" t="n">
        <x:f>F18/SUM($F$16:$F$19)</x:f>
        <x:v>0.18028408303835272</x:v>
      </x:c>
      <x:c r="H18" s="112" t="n">
        <x:f>(B18*$G$16+C18*$G$17+D18*$G$18+E18*$G$19)/G18</x:f>
        <x:v>4.000323293767382</x:v>
      </x:c>
    </x:row>
    <x:row r="19">
      <x:c r="A19" s="120" t="str">
        <x:v>A4</x:v>
      </x:c>
      <x:c r="B19" s="113" t="n">
        <x:f>POWER((IF('Оценки_альтернатив'!E11='Оценки_альтернатив'!E8,1,IF('Оценки_альтернатив'!E11&gt;'Оценки_альтернатив'!E8,MIN(9,1+('Оценки_альтернатив'!E11-'Оценки_альтернатив'!E8)),1/MIN(9,1+('Оценки_альтернатив'!E8-'Оценки_альтернатив'!E11)))))*(IF('Оценки_альтернатив'!F11='Оценки_альтернатив'!F8,1,IF('Оценки_альтернатив'!F11&gt;'Оценки_альтернатив'!F8,MIN(9,1+('Оценки_альтернатив'!F11-'Оценки_альтернатив'!F8)),1/MIN(9,1+('Оценки_альтернатив'!F8-'Оценки_альтернатив'!F11)))))*(IF('Оценки_альтернатив'!G11='Оценки_альтернатив'!G8,1,IF('Оценки_альтернатив'!G11&gt;'Оценки_альтернатив'!G8,MIN(9,1+('Оценки_альтернатив'!G11-'Оценки_альтернатив'!G8)),1/MIN(9,1+('Оценки_альтернатив'!G8-'Оценки_альтернатив'!G11)))))*(IF('Оценки_альтернатив'!H11='Оценки_альтернатив'!H8,1,IF('Оценки_альтернатив'!H11&gt;'Оценки_альтернатив'!H8,MIN(9,1+('Оценки_альтернатив'!H11-'Оценки_альтернатив'!H8)),1/MIN(9,1+('Оценки_альтернатив'!H8-'Оценки_альтернатив'!H11))))),1/4)</x:f>
        <x:v>0.5946035575013605</x:v>
      </x:c>
      <x:c r="C19" s="113" t="n">
        <x:f>POWER((IF('Оценки_альтернатив'!E11='Оценки_альтернатив'!E9,1,IF('Оценки_альтернатив'!E11&gt;'Оценки_альтернатив'!E9,MIN(9,1+('Оценки_альтернатив'!E11-'Оценки_альтернатив'!E9)),1/MIN(9,1+('Оценки_альтернатив'!E9-'Оценки_альтернатив'!E11)))))*(IF('Оценки_альтернатив'!F11='Оценки_альтернатив'!F9,1,IF('Оценки_альтернатив'!F11&gt;'Оценки_альтернатив'!F9,MIN(9,1+('Оценки_альтернатив'!F11-'Оценки_альтернатив'!F9)),1/MIN(9,1+('Оценки_альтернатив'!F9-'Оценки_альтернатив'!F11)))))*(IF('Оценки_альтернатив'!G11='Оценки_альтернатив'!G9,1,IF('Оценки_альтернатив'!G11&gt;'Оценки_альтернатив'!G9,MIN(9,1+('Оценки_альтернатив'!G11-'Оценки_альтернатив'!G9)),1/MIN(9,1+('Оценки_альтернатив'!G9-'Оценки_альтернатив'!G11)))))*(IF('Оценки_альтернатив'!H11='Оценки_альтернатив'!H9,1,IF('Оценки_альтернатив'!H11&gt;'Оценки_альтернатив'!H9,MIN(9,1+('Оценки_альтернатив'!H11-'Оценки_альтернатив'!H9)),1/MIN(9,1+('Оценки_альтернатив'!H9-'Оценки_альтернатив'!H11))))),1/4)</x:f>
        <x:v>0.537284965911771</x:v>
      </x:c>
      <x:c r="D19" s="113" t="n">
        <x:f>POWER((IF('Оценки_альтернатив'!E11='Оценки_альтернатив'!E10,1,IF('Оценки_альтернатив'!E11&gt;'Оценки_альтернатив'!E10,MIN(9,1+('Оценки_альтернатив'!E11-'Оценки_альтернатив'!E10)),1/MIN(9,1+('Оценки_альтернатив'!E10-'Оценки_альтернатив'!E11)))))*(IF('Оценки_альтернатив'!F11='Оценки_альтернатив'!F10,1,IF('Оценки_альтернатив'!F11&gt;'Оценки_альтернатив'!F10,MIN(9,1+('Оценки_альтернатив'!F11-'Оценки_альтернатив'!F10)),1/MIN(9,1+('Оценки_альтернатив'!F10-'Оценки_альтернатив'!F11)))))*(IF('Оценки_альтернатив'!G11='Оценки_альтернатив'!G10,1,IF('Оценки_альтернатив'!G11&gt;'Оценки_альтернатив'!G10,MIN(9,1+('Оценки_альтернатив'!G11-'Оценки_альтернатив'!G10)),1/MIN(9,1+('Оценки_альтернатив'!G10-'Оценки_альтернатив'!G11)))))*(IF('Оценки_альтернатив'!H11='Оценки_альтернатив'!H10,1,IF('Оценки_альтернатив'!H11&gt;'Оценки_альтернатив'!H10,MIN(9,1+('Оценки_альтернатив'!H11-'Оценки_альтернатив'!H10)),1/MIN(9,1+('Оценки_альтернатив'!H10-'Оценки_альтернатив'!H11))))),1/4)</x:f>
        <x:v>1</x:v>
      </x:c>
      <x:c r="E19" s="113" t="n">
        <x:f>POWER((IF('Оценки_альтернатив'!E11='Оценки_альтернатив'!E11,1,IF('Оценки_альтернатив'!E11&gt;'Оценки_альтернатив'!E11,MIN(9,1+('Оценки_альтернатив'!E11-'Оценки_альтернатив'!E11)),1/MIN(9,1+('Оценки_альтернатив'!E11-'Оценки_альтернатив'!E11)))))*(IF('Оценки_альтернатив'!F11='Оценки_альтернатив'!F11,1,IF('Оценки_альтернатив'!F11&gt;'Оценки_альтернатив'!F11,MIN(9,1+('Оценки_альтернатив'!F11-'Оценки_альтернатив'!F11)),1/MIN(9,1+('Оценки_альтернатив'!F11-'Оценки_альтернатив'!F11)))))*(IF('Оценки_альтернатив'!G11='Оценки_альтернатив'!G11,1,IF('Оценки_альтернатив'!G11&gt;'Оценки_альтернатив'!G11,MIN(9,1+('Оценки_альтернатив'!G11-'Оценки_альтернатив'!G11)),1/MIN(9,1+('Оценки_альтернатив'!G11-'Оценки_альтернатив'!G11)))))*(IF('Оценки_альтернатив'!H11='Оценки_альтернатив'!H11,1,IF('Оценки_альтернатив'!H11&gt;'Оценки_альтернатив'!H11,MIN(9,1+('Оценки_альтернатив'!H11-'Оценки_альтернатив'!H11)),1/MIN(9,1+('Оценки_альтернатив'!H11-'Оценки_альтернатив'!H11))))),1/4)</x:f>
        <x:v>1</x:v>
      </x:c>
      <x:c r="F19" s="113" t="n">
        <x:f>PRODUCT(B19:E19)^(1/4)</x:f>
        <x:v>0.7518099132139404</x:v>
      </x:c>
      <x:c r="G19" s="113" t="n">
        <x:f>F19/SUM($F$16:$F$19)</x:f>
        <x:v>0.18028408303835272</x:v>
      </x:c>
      <x:c r="H19" s="114" t="n">
        <x:f>(B19*$G$16+C19*$G$17+D19*$G$18+E19*$G$19)/G19</x:f>
        <x:v>4.000323293767382</x:v>
      </x:c>
    </x:row>
    <x:row r="20">
      <x:c r="A20" s="60"/>
      <x:c r="B20" s="60"/>
      <x:c r="C20" s="60"/>
      <x:c r="D20" s="60"/>
      <x:c r="E20" s="60"/>
      <x:c r="F20" s="60"/>
      <x:c r="G20" s="60"/>
      <x:c r="H20" s="60"/>
    </x:row>
    <x:row r="21">
      <x:c r="A21" s="38" t="str">
        <x:v>λmax</x:v>
      </x:c>
      <x:c r="B21" s="39" t="str">
        <x:v>CI</x:v>
      </x:c>
      <x:c r="C21" s="39" t="str">
        <x:v>RI</x:v>
      </x:c>
      <x:c r="D21" s="40" t="str">
        <x:v>CR</x:v>
      </x:c>
      <x:c r="E21" s="60"/>
      <x:c r="F21" s="60"/>
      <x:c r="G21" s="60"/>
      <x:c r="H21" s="60"/>
    </x:row>
    <x:row r="22">
      <x:c r="A22" s="129" t="n">
        <x:f>AVERAGE(H16:H19)</x:f>
        <x:v>4.000646613664478</x:v>
      </x:c>
      <x:c r="B22" s="113" t="n">
        <x:f>(A22-4)/3</x:f>
        <x:v>0.00021553788815934874</x:v>
      </x:c>
      <x:c r="C22" s="113" t="n">
        <x:v>0.9</x:v>
      </x:c>
      <x:c r="D22" s="114" t="n">
        <x:f>B22/C22</x:f>
        <x:v>0.00023948654239927636</x:v>
      </x:c>
      <x:c r="E22" s="60"/>
      <x:c r="F22" s="60"/>
      <x:c r="G22" s="60"/>
      <x:c r="H22" s="60"/>
    </x:row>
    <x:row r="23">
      <x:c r="A23" s="60"/>
      <x:c r="B23" s="60"/>
      <x:c r="C23" s="60"/>
      <x:c r="D23" s="60"/>
      <x:c r="E23" s="60"/>
      <x:c r="F23" s="60"/>
      <x:c r="G23" s="60"/>
      <x:c r="H23" s="60"/>
    </x:row>
    <x:row r="24">
      <x:c r="A24" s="60"/>
      <x:c r="B24" s="60"/>
      <x:c r="C24" s="60"/>
      <x:c r="D24" s="60"/>
      <x:c r="E24" s="60"/>
      <x:c r="F24" s="60"/>
      <x:c r="G24" s="60"/>
      <x:c r="H24" s="60"/>
    </x:row>
    <x:row r="25">
      <x:c r="A25" s="14" t="str">
        <x:v>C3. Удобство формирования Use Cases (выгода)</x:v>
      </x:c>
      <x:c r="B25" s="14"/>
      <x:c r="C25" s="14"/>
      <x:c r="D25" s="14"/>
      <x:c r="E25" s="14"/>
      <x:c r="F25" s="14"/>
      <x:c r="G25" s="14"/>
      <x:c r="H25" s="14"/>
    </x:row>
    <x:row r="26">
      <x:c r="A26" s="38"/>
      <x:c r="B26" s="39" t="str">
        <x:v>A1</x:v>
      </x:c>
      <x:c r="C26" s="39" t="str">
        <x:v>A2</x:v>
      </x:c>
      <x:c r="D26" s="39" t="str">
        <x:v>A3</x:v>
      </x:c>
      <x:c r="E26" s="39" t="str">
        <x:v>A4</x:v>
      </x:c>
      <x:c r="F26" s="39" t="str">
        <x:v>GM</x:v>
      </x:c>
      <x:c r="G26" s="39" t="str">
        <x:v>Лок. вес</x:v>
      </x:c>
      <x:c r="H26" s="40" t="str">
        <x:v>λi</x:v>
      </x:c>
    </x:row>
    <x:row r="27">
      <x:c r="A27" s="119" t="str">
        <x:v>A1</x:v>
      </x:c>
      <x:c r="B27" s="111" t="n">
        <x:f>POWER((IF('Оценки_альтернатив'!E12='Оценки_альтернатив'!E12,1,IF('Оценки_альтернатив'!E12&gt;'Оценки_альтернатив'!E12,MIN(9,1+('Оценки_альтернатив'!E12-'Оценки_альтернатив'!E12)),1/MIN(9,1+('Оценки_альтернатив'!E12-'Оценки_альтернатив'!E12)))))*(IF('Оценки_альтернатив'!F12='Оценки_альтернатив'!F12,1,IF('Оценки_альтернатив'!F12&gt;'Оценки_альтернатив'!F12,MIN(9,1+('Оценки_альтернатив'!F12-'Оценки_альтернатив'!F12)),1/MIN(9,1+('Оценки_альтернатив'!F12-'Оценки_альтернатив'!F12)))))*(IF('Оценки_альтернатив'!G12='Оценки_альтернатив'!G12,1,IF('Оценки_альтернатив'!G12&gt;'Оценки_альтернатив'!G12,MIN(9,1+('Оценки_альтернатив'!G12-'Оценки_альтернатив'!G12)),1/MIN(9,1+('Оценки_альтернатив'!G12-'Оценки_альтернатив'!G12)))))*(IF('Оценки_альтернатив'!H12='Оценки_альтернатив'!H12,1,IF('Оценки_альтернатив'!H12&gt;'Оценки_альтернатив'!H12,MIN(9,1+('Оценки_альтернатив'!H12-'Оценки_альтернатив'!H12)),1/MIN(9,1+('Оценки_альтернатив'!H12-'Оценки_альтернатив'!H12))))),1/4)</x:f>
        <x:v>1</x:v>
      </x:c>
      <x:c r="C27" s="111" t="n">
        <x:f>POWER((IF('Оценки_альтернатив'!E12='Оценки_альтернатив'!E13,1,IF('Оценки_альтернатив'!E12&gt;'Оценки_альтернатив'!E13,MIN(9,1+('Оценки_альтернатив'!E12-'Оценки_альтернатив'!E13)),1/MIN(9,1+('Оценки_альтернатив'!E13-'Оценки_альтернатив'!E12)))))*(IF('Оценки_альтернатив'!F12='Оценки_альтернатив'!F13,1,IF('Оценки_альтернатив'!F12&gt;'Оценки_альтернатив'!F13,MIN(9,1+('Оценки_альтернатив'!F12-'Оценки_альтернатив'!F13)),1/MIN(9,1+('Оценки_альтернатив'!F13-'Оценки_альтернатив'!F12)))))*(IF('Оценки_альтернатив'!G12='Оценки_альтернатив'!G13,1,IF('Оценки_альтернатив'!G12&gt;'Оценки_альтернатив'!G13,MIN(9,1+('Оценки_альтернатив'!G12-'Оценки_альтернатив'!G13)),1/MIN(9,1+('Оценки_альтернатив'!G13-'Оценки_альтернатив'!G12)))))*(IF('Оценки_альтернатив'!H12='Оценки_альтернатив'!H13,1,IF('Оценки_альтернатив'!H12&gt;'Оценки_альтернатив'!H13,MIN(9,1+('Оценки_альтернатив'!H12-'Оценки_альтернатив'!H13)),1/MIN(9,1+('Оценки_альтернатив'!H13-'Оценки_альтернатив'!H12))))),1/4)</x:f>
        <x:v>1</x:v>
      </x:c>
      <x:c r="D27" s="111" t="n">
        <x:f>POWER((IF('Оценки_альтернатив'!E12='Оценки_альтернатив'!E14,1,IF('Оценки_альтернатив'!E12&gt;'Оценки_альтернатив'!E14,MIN(9,1+('Оценки_альтернатив'!E12-'Оценки_альтернатив'!E14)),1/MIN(9,1+('Оценки_альтернатив'!E14-'Оценки_альтернатив'!E12)))))*(IF('Оценки_альтернатив'!F12='Оценки_альтернатив'!F14,1,IF('Оценки_альтернатив'!F12&gt;'Оценки_альтернатив'!F14,MIN(9,1+('Оценки_альтернатив'!F12-'Оценки_альтернатив'!F14)),1/MIN(9,1+('Оценки_альтернатив'!F14-'Оценки_альтернатив'!F12)))))*(IF('Оценки_альтернатив'!G12='Оценки_альтернатив'!G14,1,IF('Оценки_альтернатив'!G12&gt;'Оценки_альтернатив'!G14,MIN(9,1+('Оценки_альтернатив'!G12-'Оценки_альтернатив'!G14)),1/MIN(9,1+('Оценки_альтернатив'!G14-'Оценки_альтернатив'!G12)))))*(IF('Оценки_альтернатив'!H12='Оценки_альтернатив'!H14,1,IF('Оценки_альтернатив'!H12&gt;'Оценки_альтернатив'!H14,MIN(9,1+('Оценки_альтернатив'!H12-'Оценки_альтернатив'!H14)),1/MIN(9,1+('Оценки_альтернатив'!H14-'Оценки_альтернатив'!H12))))),1/4)</x:f>
        <x:v>1.4142135623730951</x:v>
      </x:c>
      <x:c r="E27" s="111" t="n">
        <x:f>POWER((IF('Оценки_альтернатив'!E12='Оценки_альтернатив'!E15,1,IF('Оценки_альтернатив'!E12&gt;'Оценки_альтернатив'!E15,MIN(9,1+('Оценки_альтернатив'!E12-'Оценки_альтернатив'!E15)),1/MIN(9,1+('Оценки_альтернатив'!E15-'Оценки_альтернатив'!E12)))))*(IF('Оценки_альтернатив'!F12='Оценки_альтернатив'!F15,1,IF('Оценки_альтернатив'!F12&gt;'Оценки_альтернатив'!F15,MIN(9,1+('Оценки_альтернатив'!F12-'Оценки_альтернатив'!F15)),1/MIN(9,1+('Оценки_альтернатив'!F15-'Оценки_альтернатив'!F12)))))*(IF('Оценки_альтернатив'!G12='Оценки_альтернатив'!G15,1,IF('Оценки_альтернатив'!G12&gt;'Оценки_альтернатив'!G15,MIN(9,1+('Оценки_альтернатив'!G12-'Оценки_альтернатив'!G15)),1/MIN(9,1+('Оценки_альтернатив'!G15-'Оценки_альтернатив'!G12)))))*(IF('Оценки_альтернатив'!H12='Оценки_альтернатив'!H15,1,IF('Оценки_альтернатив'!H12&gt;'Оценки_альтернатив'!H15,MIN(9,1+('Оценки_альтернатив'!H12-'Оценки_альтернатив'!H15)),1/MIN(9,1+('Оценки_альтернатив'!H15-'Оценки_альтернатив'!H12))))),1/4)</x:f>
        <x:v>1.4142135623730951</x:v>
      </x:c>
      <x:c r="F27" s="111" t="n">
        <x:f>PRODUCT(B27:E27)^(1/4)</x:f>
        <x:v>1.189207115002721</x:v>
      </x:c>
      <x:c r="G27" s="111" t="n">
        <x:f>F27/SUM($F$27:$F$30)</x:f>
        <x:v>0.2928932188134525</x:v>
      </x:c>
      <x:c r="H27" s="112" t="n">
        <x:f>(B27*$G$27+C27*$G$28+D27*$G$29+E27*$G$30)/G27</x:f>
        <x:v>4.000000000000001</x:v>
      </x:c>
    </x:row>
    <x:row r="28">
      <x:c r="A28" s="119" t="str">
        <x:v>A2</x:v>
      </x:c>
      <x:c r="B28" s="111" t="n">
        <x:f>POWER((IF('Оценки_альтернатив'!E13='Оценки_альтернатив'!E12,1,IF('Оценки_альтернатив'!E13&gt;'Оценки_альтернатив'!E12,MIN(9,1+('Оценки_альтернатив'!E13-'Оценки_альтернатив'!E12)),1/MIN(9,1+('Оценки_альтернатив'!E12-'Оценки_альтернатив'!E13)))))*(IF('Оценки_альтернатив'!F13='Оценки_альтернатив'!F12,1,IF('Оценки_альтернатив'!F13&gt;'Оценки_альтернатив'!F12,MIN(9,1+('Оценки_альтернатив'!F13-'Оценки_альтернатив'!F12)),1/MIN(9,1+('Оценки_альтернатив'!F12-'Оценки_альтернатив'!F13)))))*(IF('Оценки_альтернатив'!G13='Оценки_альтернатив'!G12,1,IF('Оценки_альтернатив'!G13&gt;'Оценки_альтернатив'!G12,MIN(9,1+('Оценки_альтернатив'!G13-'Оценки_альтернатив'!G12)),1/MIN(9,1+('Оценки_альтернатив'!G12-'Оценки_альтернатив'!G13)))))*(IF('Оценки_альтернатив'!H13='Оценки_альтернатив'!H12,1,IF('Оценки_альтернатив'!H13&gt;'Оценки_альтернатив'!H12,MIN(9,1+('Оценки_альтернатив'!H13-'Оценки_альтернатив'!H12)),1/MIN(9,1+('Оценки_альтернатив'!H12-'Оценки_альтернатив'!H13))))),1/4)</x:f>
        <x:v>1</x:v>
      </x:c>
      <x:c r="C28" s="111" t="n">
        <x:f>POWER((IF('Оценки_альтернатив'!E13='Оценки_альтернатив'!E13,1,IF('Оценки_альтернатив'!E13&gt;'Оценки_альтернатив'!E13,MIN(9,1+('Оценки_альтернатив'!E13-'Оценки_альтернатив'!E13)),1/MIN(9,1+('Оценки_альтернатив'!E13-'Оценки_альтернатив'!E13)))))*(IF('Оценки_альтернатив'!F13='Оценки_альтернатив'!F13,1,IF('Оценки_альтернатив'!F13&gt;'Оценки_альтернатив'!F13,MIN(9,1+('Оценки_альтернатив'!F13-'Оценки_альтернатив'!F13)),1/MIN(9,1+('Оценки_альтернатив'!F13-'Оценки_альтернатив'!F13)))))*(IF('Оценки_альтернатив'!G13='Оценки_альтернатив'!G13,1,IF('Оценки_альтернатив'!G13&gt;'Оценки_альтернатив'!G13,MIN(9,1+('Оценки_альтернатив'!G13-'Оценки_альтернатив'!G13)),1/MIN(9,1+('Оценки_альтернатив'!G13-'Оценки_альтернатив'!G13)))))*(IF('Оценки_альтернатив'!H13='Оценки_альтернатив'!H13,1,IF('Оценки_альтернатив'!H13&gt;'Оценки_альтернатив'!H13,MIN(9,1+('Оценки_альтернатив'!H13-'Оценки_альтернатив'!H13)),1/MIN(9,1+('Оценки_альтернатив'!H13-'Оценки_альтернатив'!H13))))),1/4)</x:f>
        <x:v>1</x:v>
      </x:c>
      <x:c r="D28" s="111" t="n">
        <x:f>POWER((IF('Оценки_альтернатив'!E13='Оценки_альтернатив'!E14,1,IF('Оценки_альтернатив'!E13&gt;'Оценки_альтернатив'!E14,MIN(9,1+('Оценки_альтернатив'!E13-'Оценки_альтернатив'!E14)),1/MIN(9,1+('Оценки_альтернатив'!E14-'Оценки_альтернатив'!E13)))))*(IF('Оценки_альтернатив'!F13='Оценки_альтернатив'!F14,1,IF('Оценки_альтернатив'!F13&gt;'Оценки_альтернатив'!F14,MIN(9,1+('Оценки_альтернатив'!F13-'Оценки_альтернатив'!F14)),1/MIN(9,1+('Оценки_альтернатив'!F14-'Оценки_альтернатив'!F13)))))*(IF('Оценки_альтернатив'!G13='Оценки_альтернатив'!G14,1,IF('Оценки_альтернатив'!G13&gt;'Оценки_альтернатив'!G14,MIN(9,1+('Оценки_альтернатив'!G13-'Оценки_альтернатив'!G14)),1/MIN(9,1+('Оценки_альтернатив'!G14-'Оценки_альтернатив'!G13)))))*(IF('Оценки_альтернатив'!H13='Оценки_альтернатив'!H14,1,IF('Оценки_альтернатив'!H13&gt;'Оценки_альтернатив'!H14,MIN(9,1+('Оценки_альтернатив'!H13-'Оценки_альтернатив'!H14)),1/MIN(9,1+('Оценки_альтернатив'!H14-'Оценки_альтернатив'!H13))))),1/4)</x:f>
        <x:v>1.4142135623730951</x:v>
      </x:c>
      <x:c r="E28" s="111" t="n">
        <x:f>POWER((IF('Оценки_альтернатив'!E13='Оценки_альтернатив'!E15,1,IF('Оценки_альтернатив'!E13&gt;'Оценки_альтернатив'!E15,MIN(9,1+('Оценки_альтернатив'!E13-'Оценки_альтернатив'!E15)),1/MIN(9,1+('Оценки_альтернатив'!E15-'Оценки_альтернатив'!E13)))))*(IF('Оценки_альтернатив'!F13='Оценки_альтернатив'!F15,1,IF('Оценки_альтернатив'!F13&gt;'Оценки_альтернатив'!F15,MIN(9,1+('Оценки_альтернатив'!F13-'Оценки_альтернатив'!F15)),1/MIN(9,1+('Оценки_альтернатив'!F15-'Оценки_альтернатив'!F13)))))*(IF('Оценки_альтернатив'!G13='Оценки_альтернатив'!G15,1,IF('Оценки_альтернатив'!G13&gt;'Оценки_альтернатив'!G15,MIN(9,1+('Оценки_альтернатив'!G13-'Оценки_альтернатив'!G15)),1/MIN(9,1+('Оценки_альтернатив'!G15-'Оценки_альтернатив'!G13)))))*(IF('Оценки_альтернатив'!H13='Оценки_альтернатив'!H15,1,IF('Оценки_альтернатив'!H13&gt;'Оценки_альтернатив'!H15,MIN(9,1+('Оценки_альтернатив'!H13-'Оценки_альтернатив'!H15)),1/MIN(9,1+('Оценки_альтернатив'!H15-'Оценки_альтернатив'!H13))))),1/4)</x:f>
        <x:v>1.4142135623730951</x:v>
      </x:c>
      <x:c r="F28" s="111" t="n">
        <x:f>PRODUCT(B28:E28)^(1/4)</x:f>
        <x:v>1.189207115002721</x:v>
      </x:c>
      <x:c r="G28" s="111" t="n">
        <x:f>F28/SUM($F$27:$F$30)</x:f>
        <x:v>0.2928932188134525</x:v>
      </x:c>
      <x:c r="H28" s="112" t="n">
        <x:f>(B28*$G$27+C28*$G$28+D28*$G$29+E28*$G$30)/G28</x:f>
        <x:v>4.000000000000001</x:v>
      </x:c>
    </x:row>
    <x:row r="29">
      <x:c r="A29" s="119" t="str">
        <x:v>A3</x:v>
      </x:c>
      <x:c r="B29" s="111" t="n">
        <x:f>POWER((IF('Оценки_альтернатив'!E14='Оценки_альтернатив'!E12,1,IF('Оценки_альтернатив'!E14&gt;'Оценки_альтернатив'!E12,MIN(9,1+('Оценки_альтернатив'!E14-'Оценки_альтернатив'!E12)),1/MIN(9,1+('Оценки_альтернатив'!E12-'Оценки_альтернатив'!E14)))))*(IF('Оценки_альтернатив'!F14='Оценки_альтернатив'!F12,1,IF('Оценки_альтернатив'!F14&gt;'Оценки_альтернатив'!F12,MIN(9,1+('Оценки_альтернатив'!F14-'Оценки_альтернатив'!F12)),1/MIN(9,1+('Оценки_альтернатив'!F12-'Оценки_альтернатив'!F14)))))*(IF('Оценки_альтернатив'!G14='Оценки_альтернатив'!G12,1,IF('Оценки_альтернатив'!G14&gt;'Оценки_альтернатив'!G12,MIN(9,1+('Оценки_альтернатив'!G14-'Оценки_альтернатив'!G12)),1/MIN(9,1+('Оценки_альтернатив'!G12-'Оценки_альтернатив'!G14)))))*(IF('Оценки_альтернатив'!H14='Оценки_альтернатив'!H12,1,IF('Оценки_альтернатив'!H14&gt;'Оценки_альтернатив'!H12,MIN(9,1+('Оценки_альтернатив'!H14-'Оценки_альтернатив'!H12)),1/MIN(9,1+('Оценки_альтернатив'!H12-'Оценки_альтернатив'!H14))))),1/4)</x:f>
        <x:v>0.7071067811865476</x:v>
      </x:c>
      <x:c r="C29" s="111" t="n">
        <x:f>POWER((IF('Оценки_альтернатив'!E14='Оценки_альтернатив'!E13,1,IF('Оценки_альтернатив'!E14&gt;'Оценки_альтернатив'!E13,MIN(9,1+('Оценки_альтернатив'!E14-'Оценки_альтернатив'!E13)),1/MIN(9,1+('Оценки_альтернатив'!E13-'Оценки_альтернатив'!E14)))))*(IF('Оценки_альтернатив'!F14='Оценки_альтернатив'!F13,1,IF('Оценки_альтернатив'!F14&gt;'Оценки_альтернатив'!F13,MIN(9,1+('Оценки_альтернатив'!F14-'Оценки_альтернатив'!F13)),1/MIN(9,1+('Оценки_альтернатив'!F13-'Оценки_альтернатив'!F14)))))*(IF('Оценки_альтернатив'!G14='Оценки_альтернатив'!G13,1,IF('Оценки_альтернатив'!G14&gt;'Оценки_альтернатив'!G13,MIN(9,1+('Оценки_альтернатив'!G14-'Оценки_альтернатив'!G13)),1/MIN(9,1+('Оценки_альтернатив'!G13-'Оценки_альтернатив'!G14)))))*(IF('Оценки_альтернатив'!H14='Оценки_альтернатив'!H13,1,IF('Оценки_альтернатив'!H14&gt;'Оценки_альтернатив'!H13,MIN(9,1+('Оценки_альтернатив'!H14-'Оценки_альтернатив'!H13)),1/MIN(9,1+('Оценки_альтернатив'!H13-'Оценки_альтернатив'!H14))))),1/4)</x:f>
        <x:v>0.7071067811865476</x:v>
      </x:c>
      <x:c r="D29" s="111" t="n">
        <x:f>POWER((IF('Оценки_альтернатив'!E14='Оценки_альтернатив'!E14,1,IF('Оценки_альтернатив'!E14&gt;'Оценки_альтернатив'!E14,MIN(9,1+('Оценки_альтернатив'!E14-'Оценки_альтернатив'!E14)),1/MIN(9,1+('Оценки_альтернатив'!E14-'Оценки_альтернатив'!E14)))))*(IF('Оценки_альтернатив'!F14='Оценки_альтернатив'!F14,1,IF('Оценки_альтернатив'!F14&gt;'Оценки_альтернатив'!F14,MIN(9,1+('Оценки_альтернатив'!F14-'Оценки_альтернатив'!F14)),1/MIN(9,1+('Оценки_альтернатив'!F14-'Оценки_альтернатив'!F14)))))*(IF('Оценки_альтернатив'!G14='Оценки_альтернатив'!G14,1,IF('Оценки_альтернатив'!G14&gt;'Оценки_альтернатив'!G14,MIN(9,1+('Оценки_альтернатив'!G14-'Оценки_альтернатив'!G14)),1/MIN(9,1+('Оценки_альтернатив'!G14-'Оценки_альтернатив'!G14)))))*(IF('Оценки_альтернатив'!H14='Оценки_альтернатив'!H14,1,IF('Оценки_альтернатив'!H14&gt;'Оценки_альтернатив'!H14,MIN(9,1+('Оценки_альтернатив'!H14-'Оценки_альтернатив'!H14)),1/MIN(9,1+('Оценки_альтернатив'!H14-'Оценки_альтернатив'!H14))))),1/4)</x:f>
        <x:v>1</x:v>
      </x:c>
      <x:c r="E29" s="111" t="n">
        <x:f>POWER((IF('Оценки_альтернатив'!E14='Оценки_альтернатив'!E15,1,IF('Оценки_альтернатив'!E14&gt;'Оценки_альтернатив'!E15,MIN(9,1+('Оценки_альтернатив'!E14-'Оценки_альтернатив'!E15)),1/MIN(9,1+('Оценки_альтернатив'!E15-'Оценки_альтернатив'!E14)))))*(IF('Оценки_альтернатив'!F14='Оценки_альтернатив'!F15,1,IF('Оценки_альтернатив'!F14&gt;'Оценки_альтернатив'!F15,MIN(9,1+('Оценки_альтернатив'!F14-'Оценки_альтернатив'!F15)),1/MIN(9,1+('Оценки_альтернатив'!F15-'Оценки_альтернатив'!F14)))))*(IF('Оценки_альтернатив'!G14='Оценки_альтернатив'!G15,1,IF('Оценки_альтернатив'!G14&gt;'Оценки_альтернатив'!G15,MIN(9,1+('Оценки_альтернатив'!G14-'Оценки_альтернатив'!G15)),1/MIN(9,1+('Оценки_альтернатив'!G15-'Оценки_альтернатив'!G14)))))*(IF('Оценки_альтернатив'!H14='Оценки_альтернатив'!H15,1,IF('Оценки_альтернатив'!H14&gt;'Оценки_альтернатив'!H15,MIN(9,1+('Оценки_альтернатив'!H14-'Оценки_альтернатив'!H15)),1/MIN(9,1+('Оценки_альтернатив'!H15-'Оценки_альтернатив'!H14))))),1/4)</x:f>
        <x:v>1</x:v>
      </x:c>
      <x:c r="F29" s="111" t="n">
        <x:f>PRODUCT(B29:E29)^(1/4)</x:f>
        <x:v>0.8408964152537146</x:v>
      </x:c>
      <x:c r="G29" s="111" t="n">
        <x:f>F29/SUM($F$27:$F$30)</x:f>
        <x:v>0.20710678118654754</x:v>
      </x:c>
      <x:c r="H29" s="112" t="n">
        <x:f>(B29*$G$27+C29*$G$28+D29*$G$29+E29*$G$30)/G29</x:f>
        <x:v>4</x:v>
      </x:c>
    </x:row>
    <x:row r="30">
      <x:c r="A30" s="120" t="str">
        <x:v>A4</x:v>
      </x:c>
      <x:c r="B30" s="113" t="n">
        <x:f>POWER((IF('Оценки_альтернатив'!E15='Оценки_альтернатив'!E12,1,IF('Оценки_альтернатив'!E15&gt;'Оценки_альтернатив'!E12,MIN(9,1+('Оценки_альтернатив'!E15-'Оценки_альтернатив'!E12)),1/MIN(9,1+('Оценки_альтернатив'!E12-'Оценки_альтернатив'!E15)))))*(IF('Оценки_альтернатив'!F15='Оценки_альтернатив'!F12,1,IF('Оценки_альтернатив'!F15&gt;'Оценки_альтернатив'!F12,MIN(9,1+('Оценки_альтернатив'!F15-'Оценки_альтернатив'!F12)),1/MIN(9,1+('Оценки_альтернатив'!F12-'Оценки_альтернатив'!F15)))))*(IF('Оценки_альтернатив'!G15='Оценки_альтернатив'!G12,1,IF('Оценки_альтернатив'!G15&gt;'Оценки_альтернатив'!G12,MIN(9,1+('Оценки_альтернатив'!G15-'Оценки_альтернатив'!G12)),1/MIN(9,1+('Оценки_альтернатив'!G12-'Оценки_альтернатив'!G15)))))*(IF('Оценки_альтернатив'!H15='Оценки_альтернатив'!H12,1,IF('Оценки_альтернатив'!H15&gt;'Оценки_альтернатив'!H12,MIN(9,1+('Оценки_альтернатив'!H15-'Оценки_альтернатив'!H12)),1/MIN(9,1+('Оценки_альтернатив'!H12-'Оценки_альтернатив'!H15))))),1/4)</x:f>
        <x:v>0.7071067811865476</x:v>
      </x:c>
      <x:c r="C30" s="113" t="n">
        <x:f>POWER((IF('Оценки_альтернатив'!E15='Оценки_альтернатив'!E13,1,IF('Оценки_альтернатив'!E15&gt;'Оценки_альтернатив'!E13,MIN(9,1+('Оценки_альтернатив'!E15-'Оценки_альтернатив'!E13)),1/MIN(9,1+('Оценки_альтернатив'!E13-'Оценки_альтернатив'!E15)))))*(IF('Оценки_альтернатив'!F15='Оценки_альтернатив'!F13,1,IF('Оценки_альтернатив'!F15&gt;'Оценки_альтернатив'!F13,MIN(9,1+('Оценки_альтернатив'!F15-'Оценки_альтернатив'!F13)),1/MIN(9,1+('Оценки_альтернатив'!F13-'Оценки_альтернатив'!F15)))))*(IF('Оценки_альтернатив'!G15='Оценки_альтернатив'!G13,1,IF('Оценки_альтернатив'!G15&gt;'Оценки_альтернатив'!G13,MIN(9,1+('Оценки_альтернатив'!G15-'Оценки_альтернатив'!G13)),1/MIN(9,1+('Оценки_альтернатив'!G13-'Оценки_альтернатив'!G15)))))*(IF('Оценки_альтернатив'!H15='Оценки_альтернатив'!H13,1,IF('Оценки_альтернатив'!H15&gt;'Оценки_альтернатив'!H13,MIN(9,1+('Оценки_альтернатив'!H15-'Оценки_альтернатив'!H13)),1/MIN(9,1+('Оценки_альтернатив'!H13-'Оценки_альтернатив'!H15))))),1/4)</x:f>
        <x:v>0.7071067811865476</x:v>
      </x:c>
      <x:c r="D30" s="113" t="n">
        <x:f>POWER((IF('Оценки_альтернатив'!E15='Оценки_альтернатив'!E14,1,IF('Оценки_альтернатив'!E15&gt;'Оценки_альтернатив'!E14,MIN(9,1+('Оценки_альтернатив'!E15-'Оценки_альтернатив'!E14)),1/MIN(9,1+('Оценки_альтернатив'!E14-'Оценки_альтернатив'!E15)))))*(IF('Оценки_альтернатив'!F15='Оценки_альтернатив'!F14,1,IF('Оценки_альтернатив'!F15&gt;'Оценки_альтернатив'!F14,MIN(9,1+('Оценки_альтернатив'!F15-'Оценки_альтернатив'!F14)),1/MIN(9,1+('Оценки_альтернатив'!F14-'Оценки_альтернатив'!F15)))))*(IF('Оценки_альтернатив'!G15='Оценки_альтернатив'!G14,1,IF('Оценки_альтернатив'!G15&gt;'Оценки_альтернатив'!G14,MIN(9,1+('Оценки_альтернатив'!G15-'Оценки_альтернатив'!G14)),1/MIN(9,1+('Оценки_альтернатив'!G14-'Оценки_альтернатив'!G15)))))*(IF('Оценки_альтернатив'!H15='Оценки_альтернатив'!H14,1,IF('Оценки_альтернатив'!H15&gt;'Оценки_альтернатив'!H14,MIN(9,1+('Оценки_альтернатив'!H15-'Оценки_альтернатив'!H14)),1/MIN(9,1+('Оценки_альтернатив'!H14-'Оценки_альтернатив'!H15))))),1/4)</x:f>
        <x:v>1</x:v>
      </x:c>
      <x:c r="E30" s="113" t="n">
        <x:f>POWER((IF('Оценки_альтернатив'!E15='Оценки_альтернатив'!E15,1,IF('Оценки_альтернатив'!E15&gt;'Оценки_альтернатив'!E15,MIN(9,1+('Оценки_альтернатив'!E15-'Оценки_альтернатив'!E15)),1/MIN(9,1+('Оценки_альтернатив'!E15-'Оценки_альтернатив'!E15)))))*(IF('Оценки_альтернатив'!F15='Оценки_альтернатив'!F15,1,IF('Оценки_альтернатив'!F15&gt;'Оценки_альтернатив'!F15,MIN(9,1+('Оценки_альтернатив'!F15-'Оценки_альтернатив'!F15)),1/MIN(9,1+('Оценки_альтернатив'!F15-'Оценки_альтернатив'!F15)))))*(IF('Оценки_альтернатив'!G15='Оценки_альтернатив'!G15,1,IF('Оценки_альтернатив'!G15&gt;'Оценки_альтернатив'!G15,MIN(9,1+('Оценки_альтернатив'!G15-'Оценки_альтернатив'!G15)),1/MIN(9,1+('Оценки_альтернатив'!G15-'Оценки_альтернатив'!G15)))))*(IF('Оценки_альтернатив'!H15='Оценки_альтернатив'!H15,1,IF('Оценки_альтернатив'!H15&gt;'Оценки_альтернатив'!H15,MIN(9,1+('Оценки_альтернатив'!H15-'Оценки_альтернатив'!H15)),1/MIN(9,1+('Оценки_альтернатив'!H15-'Оценки_альтернатив'!H15))))),1/4)</x:f>
        <x:v>1</x:v>
      </x:c>
      <x:c r="F30" s="113" t="n">
        <x:f>PRODUCT(B30:E30)^(1/4)</x:f>
        <x:v>0.8408964152537146</x:v>
      </x:c>
      <x:c r="G30" s="113" t="n">
        <x:f>F30/SUM($F$27:$F$30)</x:f>
        <x:v>0.20710678118654754</x:v>
      </x:c>
      <x:c r="H30" s="114" t="n">
        <x:f>(B30*$G$27+C30*$G$28+D30*$G$29+E30*$G$30)/G30</x:f>
        <x:v>4</x:v>
      </x:c>
    </x:row>
    <x:row r="31">
      <x:c r="A31" s="60"/>
      <x:c r="B31" s="60"/>
      <x:c r="C31" s="60"/>
      <x:c r="D31" s="60"/>
      <x:c r="E31" s="60"/>
      <x:c r="F31" s="60"/>
      <x:c r="G31" s="60"/>
      <x:c r="H31" s="60"/>
    </x:row>
    <x:row r="32">
      <x:c r="A32" s="38" t="str">
        <x:v>λmax</x:v>
      </x:c>
      <x:c r="B32" s="39" t="str">
        <x:v>CI</x:v>
      </x:c>
      <x:c r="C32" s="39" t="str">
        <x:v>RI</x:v>
      </x:c>
      <x:c r="D32" s="40" t="str">
        <x:v>CR</x:v>
      </x:c>
      <x:c r="E32" s="60"/>
      <x:c r="F32" s="60"/>
      <x:c r="G32" s="60"/>
      <x:c r="H32" s="60"/>
    </x:row>
    <x:row r="33">
      <x:c r="A33" s="129" t="n">
        <x:f>AVERAGE(H27:H30)</x:f>
        <x:v>4</x:v>
      </x:c>
      <x:c r="B33" s="113" t="n">
        <x:f>(A33-4)/3</x:f>
        <x:v>0</x:v>
      </x:c>
      <x:c r="C33" s="113" t="n">
        <x:v>0.9</x:v>
      </x:c>
      <x:c r="D33" s="114" t="n">
        <x:f>B33/C33</x:f>
        <x:v>0</x:v>
      </x:c>
      <x:c r="E33" s="60"/>
      <x:c r="F33" s="60"/>
      <x:c r="G33" s="60"/>
      <x:c r="H33" s="60"/>
    </x:row>
    <x:row r="34">
      <x:c r="A34" s="60"/>
      <x:c r="B34" s="60"/>
      <x:c r="C34" s="60"/>
      <x:c r="D34" s="60"/>
      <x:c r="E34" s="60"/>
      <x:c r="F34" s="60"/>
      <x:c r="G34" s="60"/>
      <x:c r="H34" s="60"/>
    </x:row>
    <x:row r="35">
      <x:c r="A35" s="60"/>
      <x:c r="B35" s="60"/>
      <x:c r="C35" s="60"/>
      <x:c r="D35" s="60"/>
      <x:c r="E35" s="60"/>
      <x:c r="F35" s="60"/>
      <x:c r="G35" s="60"/>
      <x:c r="H35" s="60"/>
    </x:row>
    <x:row r="36">
      <x:c r="A36" s="14" t="str">
        <x:v>C4. Сложность реализации (затраты)</x:v>
      </x:c>
      <x:c r="B36" s="14"/>
      <x:c r="C36" s="14"/>
      <x:c r="D36" s="14"/>
      <x:c r="E36" s="14"/>
      <x:c r="F36" s="14"/>
      <x:c r="G36" s="14"/>
      <x:c r="H36" s="14"/>
    </x:row>
    <x:row r="37">
      <x:c r="A37" s="38"/>
      <x:c r="B37" s="39" t="str">
        <x:v>A1</x:v>
      </x:c>
      <x:c r="C37" s="39" t="str">
        <x:v>A2</x:v>
      </x:c>
      <x:c r="D37" s="39" t="str">
        <x:v>A3</x:v>
      </x:c>
      <x:c r="E37" s="39" t="str">
        <x:v>A4</x:v>
      </x:c>
      <x:c r="F37" s="39" t="str">
        <x:v>GM</x:v>
      </x:c>
      <x:c r="G37" s="39" t="str">
        <x:v>Лок. вес</x:v>
      </x:c>
      <x:c r="H37" s="40" t="str">
        <x:v>λi</x:v>
      </x:c>
    </x:row>
    <x:row r="38">
      <x:c r="A38" s="119" t="str">
        <x:v>A1</x:v>
      </x:c>
      <x:c r="B38" s="111" t="n">
        <x:f>POWER((IF('Оценки_альтернатив'!E16='Оценки_альтернатив'!E16,1,IF('Оценки_альтернатив'!E16&lt;'Оценки_альтернатив'!E16,MIN(9,1+('Оценки_альтернатив'!E16-'Оценки_альтернатив'!E16)),1/MIN(9,1+('Оценки_альтернатив'!E16-'Оценки_альтернатив'!E16)))))*(IF('Оценки_альтернатив'!F16='Оценки_альтернатив'!F16,1,IF('Оценки_альтернатив'!F16&lt;'Оценки_альтернатив'!F16,MIN(9,1+('Оценки_альтернатив'!F16-'Оценки_альтернатив'!F16)),1/MIN(9,1+('Оценки_альтернатив'!F16-'Оценки_альтернатив'!F16)))))*(IF('Оценки_альтернатив'!G16='Оценки_альтернатив'!G16,1,IF('Оценки_альтернатив'!G16&lt;'Оценки_альтернатив'!G16,MIN(9,1+('Оценки_альтернатив'!G16-'Оценки_альтернатив'!G16)),1/MIN(9,1+('Оценки_альтернатив'!G16-'Оценки_альтернатив'!G16)))))*(IF('Оценки_альтернатив'!H16='Оценки_альтернатив'!H16,1,IF('Оценки_альтернатив'!H16&lt;'Оценки_альтернатив'!H16,MIN(9,1+('Оценки_альтернатив'!H16-'Оценки_альтернатив'!H16)),1/MIN(9,1+('Оценки_альтернатив'!H16-'Оценки_альтернатив'!H16))))),1/4)</x:f>
        <x:v>1</x:v>
      </x:c>
      <x:c r="C38" s="111" t="n">
        <x:f>POWER((IF('Оценки_альтернатив'!E16='Оценки_альтернатив'!E17,1,IF('Оценки_альтернатив'!E16&lt;'Оценки_альтернатив'!E17,MIN(9,1+('Оценки_альтернатив'!E17-'Оценки_альтернатив'!E16)),1/MIN(9,1+('Оценки_альтернатив'!E16-'Оценки_альтернатив'!E17)))))*(IF('Оценки_альтернатив'!F16='Оценки_альтернатив'!F17,1,IF('Оценки_альтернатив'!F16&lt;'Оценки_альтернатив'!F17,MIN(9,1+('Оценки_альтернатив'!F17-'Оценки_альтернатив'!F16)),1/MIN(9,1+('Оценки_альтернатив'!F16-'Оценки_альтернатив'!F17)))))*(IF('Оценки_альтернатив'!G16='Оценки_альтернатив'!G17,1,IF('Оценки_альтернатив'!G16&lt;'Оценки_альтернатив'!G17,MIN(9,1+('Оценки_альтернатив'!G17-'Оценки_альтернатив'!G16)),1/MIN(9,1+('Оценки_альтернатив'!G16-'Оценки_альтернатив'!G17)))))*(IF('Оценки_альтернатив'!H16='Оценки_альтернатив'!H17,1,IF('Оценки_альтернатив'!H16&lt;'Оценки_альтернатив'!H17,MIN(9,1+('Оценки_альтернатив'!H17-'Оценки_альтернатив'!H16)),1/MIN(9,1+('Оценки_альтернатив'!H16-'Оценки_альтернатив'!H17))))),1/4)</x:f>
        <x:v>1.4142135623730951</x:v>
      </x:c>
      <x:c r="D38" s="111" t="n">
        <x:f>POWER((IF('Оценки_альтернатив'!E16='Оценки_альтернатив'!E18,1,IF('Оценки_альтернатив'!E16&lt;'Оценки_альтернатив'!E18,MIN(9,1+('Оценки_альтернатив'!E18-'Оценки_альтернатив'!E16)),1/MIN(9,1+('Оценки_альтернатив'!E16-'Оценки_альтернатив'!E18)))))*(IF('Оценки_альтернатив'!F16='Оценки_альтернатив'!F18,1,IF('Оценки_альтернатив'!F16&lt;'Оценки_альтернатив'!F18,MIN(9,1+('Оценки_альтернатив'!F18-'Оценки_альтернатив'!F16)),1/MIN(9,1+('Оценки_альтернатив'!F16-'Оценки_альтернатив'!F18)))))*(IF('Оценки_альтернатив'!G16='Оценки_альтернатив'!G18,1,IF('Оценки_альтернатив'!G16&lt;'Оценки_альтернатив'!G18,MIN(9,1+('Оценки_альтернатив'!G18-'Оценки_альтернатив'!G16)),1/MIN(9,1+('Оценки_альтернатив'!G16-'Оценки_альтернатив'!G18)))))*(IF('Оценки_альтернатив'!H16='Оценки_альтернатив'!H18,1,IF('Оценки_альтернатив'!H16&lt;'Оценки_альтернатив'!H18,MIN(9,1+('Оценки_альтернатив'!H18-'Оценки_альтернатив'!H16)),1/MIN(9,1+('Оценки_альтернатив'!H16-'Оценки_альтернатив'!H18))))),1/4)</x:f>
        <x:v>0.5</x:v>
      </x:c>
      <x:c r="E38" s="111" t="n">
        <x:f>POWER((IF('Оценки_альтернатив'!E16='Оценки_альтернатив'!E19,1,IF('Оценки_альтернатив'!E16&lt;'Оценки_альтернатив'!E19,MIN(9,1+('Оценки_альтернатив'!E19-'Оценки_альтернатив'!E16)),1/MIN(9,1+('Оценки_альтернатив'!E16-'Оценки_альтернатив'!E19)))))*(IF('Оценки_альтернатив'!F16='Оценки_альтернатив'!F19,1,IF('Оценки_альтернатив'!F16&lt;'Оценки_альтернатив'!F19,MIN(9,1+('Оценки_альтернатив'!F19-'Оценки_альтернатив'!F16)),1/MIN(9,1+('Оценки_альтернатив'!F16-'Оценки_альтернатив'!F19)))))*(IF('Оценки_альтернатив'!G16='Оценки_альтернатив'!G19,1,IF('Оценки_альтернатив'!G16&lt;'Оценки_альтернатив'!G19,MIN(9,1+('Оценки_альтернатив'!G19-'Оценки_альтернатив'!G16)),1/MIN(9,1+('Оценки_альтернатив'!G16-'Оценки_альтернатив'!G19)))))*(IF('Оценки_альтернатив'!H16='Оценки_альтернатив'!H19,1,IF('Оценки_альтернатив'!H16&lt;'Оценки_альтернатив'!H19,MIN(9,1+('Оценки_альтернатив'!H19-'Оценки_альтернатив'!H16)),1/MIN(9,1+('Оценки_альтернатив'!H16-'Оценки_альтернатив'!H19))))),1/4)</x:f>
        <x:v>0.537284965911771</x:v>
      </x:c>
      <x:c r="F38" s="111" t="n">
        <x:f>PRODUCT(B38:E38)^(1/4)</x:f>
        <x:v>0.7850953817383474</x:v>
      </x:c>
      <x:c r="G38" s="111" t="n">
        <x:f>F38/SUM($F$38:$F$41)</x:f>
        <x:v>0.18173614543955435</x:v>
      </x:c>
      <x:c r="H38" s="112" t="n">
        <x:f>(B38*$G$38+C38*$G$39+D38*$G$40+E38*$G$41)/G38</x:f>
        <x:v>4.002910271053387</x:v>
      </x:c>
    </x:row>
    <x:row r="39">
      <x:c r="A39" s="119" t="str">
        <x:v>A2</x:v>
      </x:c>
      <x:c r="B39" s="111" t="n">
        <x:f>POWER((IF('Оценки_альтернатив'!E17='Оценки_альтернатив'!E16,1,IF('Оценки_альтернатив'!E17&lt;'Оценки_альтернатив'!E16,MIN(9,1+('Оценки_альтернатив'!E16-'Оценки_альтернатив'!E17)),1/MIN(9,1+('Оценки_альтернатив'!E17-'Оценки_альтернатив'!E16)))))*(IF('Оценки_альтернатив'!F17='Оценки_альтернатив'!F16,1,IF('Оценки_альтернатив'!F17&lt;'Оценки_альтернатив'!F16,MIN(9,1+('Оценки_альтернатив'!F16-'Оценки_альтернатив'!F17)),1/MIN(9,1+('Оценки_альтернатив'!F17-'Оценки_альтернатив'!F16)))))*(IF('Оценки_альтернатив'!G17='Оценки_альтернатив'!G16,1,IF('Оценки_альтернатив'!G17&lt;'Оценки_альтернатив'!G16,MIN(9,1+('Оценки_альтернатив'!G16-'Оценки_альтернатив'!G17)),1/MIN(9,1+('Оценки_альтернатив'!G17-'Оценки_альтернатив'!G16)))))*(IF('Оценки_альтернатив'!H17='Оценки_альтернатив'!H16,1,IF('Оценки_альтернатив'!H17&lt;'Оценки_альтернатив'!H16,MIN(9,1+('Оценки_альтернатив'!H16-'Оценки_альтернатив'!H17)),1/MIN(9,1+('Оценки_альтернатив'!H17-'Оценки_альтернатив'!H16))))),1/4)</x:f>
        <x:v>0.7071067811865476</x:v>
      </x:c>
      <x:c r="C39" s="111" t="n">
        <x:f>POWER((IF('Оценки_альтернатив'!E17='Оценки_альтернатив'!E17,1,IF('Оценки_альтернатив'!E17&lt;'Оценки_альтернатив'!E17,MIN(9,1+('Оценки_альтернатив'!E17-'Оценки_альтернатив'!E17)),1/MIN(9,1+('Оценки_альтернатив'!E17-'Оценки_альтернатив'!E17)))))*(IF('Оценки_альтернатив'!F17='Оценки_альтернатив'!F17,1,IF('Оценки_альтернатив'!F17&lt;'Оценки_альтернатив'!F17,MIN(9,1+('Оценки_альтернатив'!F17-'Оценки_альтернатив'!F17)),1/MIN(9,1+('Оценки_альтернатив'!F17-'Оценки_альтернатив'!F17)))))*(IF('Оценки_альтернатив'!G17='Оценки_альтернатив'!G17,1,IF('Оценки_альтернатив'!G17&lt;'Оценки_альтернатив'!G17,MIN(9,1+('Оценки_альтернатив'!G17-'Оценки_альтернатив'!G17)),1/MIN(9,1+('Оценки_альтернатив'!G17-'Оценки_альтернатив'!G17)))))*(IF('Оценки_альтернатив'!H17='Оценки_альтернатив'!H17,1,IF('Оценки_альтернатив'!H17&lt;'Оценки_альтернатив'!H17,MIN(9,1+('Оценки_альтернатив'!H17-'Оценки_альтернатив'!H17)),1/MIN(9,1+('Оценки_альтернатив'!H17-'Оценки_альтернатив'!H17))))),1/4)</x:f>
        <x:v>1</x:v>
      </x:c>
      <x:c r="D39" s="111" t="n">
        <x:f>POWER((IF('Оценки_альтернатив'!E17='Оценки_альтернатив'!E18,1,IF('Оценки_альтернатив'!E17&lt;'Оценки_альтернатив'!E18,MIN(9,1+('Оценки_альтернатив'!E18-'Оценки_альтернатив'!E17)),1/MIN(9,1+('Оценки_альтернатив'!E17-'Оценки_альтернатив'!E18)))))*(IF('Оценки_альтернатив'!F17='Оценки_альтернатив'!F18,1,IF('Оценки_альтернатив'!F17&lt;'Оценки_альтернатив'!F18,MIN(9,1+('Оценки_альтернатив'!F18-'Оценки_альтернатив'!F17)),1/MIN(9,1+('Оценки_альтернатив'!F17-'Оценки_альтернатив'!F18)))))*(IF('Оценки_альтернатив'!G17='Оценки_альтернатив'!G18,1,IF('Оценки_альтернатив'!G17&lt;'Оценки_альтернатив'!G18,MIN(9,1+('Оценки_альтернатив'!G18-'Оценки_альтернатив'!G17)),1/MIN(9,1+('Оценки_альтернатив'!G17-'Оценки_альтернатив'!G18)))))*(IF('Оценки_альтернатив'!H17='Оценки_альтернатив'!H18,1,IF('Оценки_альтернатив'!H17&lt;'Оценки_альтернатив'!H18,MIN(9,1+('Оценки_альтернатив'!H18-'Оценки_альтернатив'!H17)),1/MIN(9,1+('Оценки_альтернатив'!H17-'Оценки_альтернатив'!H18))))),1/4)</x:f>
        <x:v>0.408248290463863</x:v>
      </x:c>
      <x:c r="E39" s="111" t="n">
        <x:f>POWER((IF('Оценки_альтернатив'!E17='Оценки_альтернатив'!E19,1,IF('Оценки_альтернатив'!E17&lt;'Оценки_альтернатив'!E19,MIN(9,1+('Оценки_альтернатив'!E19-'Оценки_альтернатив'!E17)),1/MIN(9,1+('Оценки_альтернатив'!E17-'Оценки_альтернатив'!E19)))))*(IF('Оценки_альтернатив'!F17='Оценки_альтернатив'!F19,1,IF('Оценки_альтернатив'!F17&lt;'Оценки_альтернатив'!F19,MIN(9,1+('Оценки_альтернатив'!F19-'Оценки_альтернатив'!F17)),1/MIN(9,1+('Оценки_альтернатив'!F17-'Оценки_альтернатив'!F19)))))*(IF('Оценки_альтернатив'!G17='Оценки_альтернатив'!G19,1,IF('Оценки_альтернатив'!G17&lt;'Оценки_альтернатив'!G19,MIN(9,1+('Оценки_альтернатив'!G19-'Оценки_альтернатив'!G17)),1/MIN(9,1+('Оценки_альтернатив'!G17-'Оценки_альтернатив'!G19)))))*(IF('Оценки_альтернатив'!H17='Оценки_альтернатив'!H19,1,IF('Оценки_альтернатив'!H17&lt;'Оценки_альтернатив'!H19,MIN(9,1+('Оценки_альтернатив'!H19-'Оценки_альтернатив'!H17)),1/MIN(9,1+('Оценки_альтернатив'!H17-'Оценки_альтернатив'!H19))))),1/4)</x:f>
        <x:v>0.408248290463863</x:v>
      </x:c>
      <x:c r="F39" s="111" t="n">
        <x:f>PRODUCT(B39:E39)^(1/4)</x:f>
        <x:v>0.5859134099715756</x:v>
      </x:c>
      <x:c r="G39" s="111" t="n">
        <x:f>F39/SUM($F$38:$F$41)</x:f>
        <x:v>0.13562892760088502</x:v>
      </x:c>
      <x:c r="H39" s="112" t="n">
        <x:f>(B39*$G$38+C39*$G$39+D39*$G$40+E39*$G$41)/G39</x:f>
        <x:v>4.002245980794153</x:v>
      </x:c>
    </x:row>
    <x:row r="40">
      <x:c r="A40" s="119" t="str">
        <x:v>A3</x:v>
      </x:c>
      <x:c r="B40" s="111" t="n">
        <x:f>POWER((IF('Оценки_альтернатив'!E18='Оценки_альтернатив'!E16,1,IF('Оценки_альтернатив'!E18&lt;'Оценки_альтернатив'!E16,MIN(9,1+('Оценки_альтернатив'!E16-'Оценки_альтернатив'!E18)),1/MIN(9,1+('Оценки_альтернатив'!E18-'Оценки_альтернатив'!E16)))))*(IF('Оценки_альтернатив'!F18='Оценки_альтернатив'!F16,1,IF('Оценки_альтернатив'!F18&lt;'Оценки_альтернатив'!F16,MIN(9,1+('Оценки_альтернатив'!F16-'Оценки_альтернатив'!F18)),1/MIN(9,1+('Оценки_альтернатив'!F18-'Оценки_альтернатив'!F16)))))*(IF('Оценки_альтернатив'!G18='Оценки_альтернатив'!G16,1,IF('Оценки_альтернатив'!G18&lt;'Оценки_альтернатив'!G16,MIN(9,1+('Оценки_альтернатив'!G16-'Оценки_альтернатив'!G18)),1/MIN(9,1+('Оценки_альтернатив'!G18-'Оценки_альтернатив'!G16)))))*(IF('Оценки_альтернатив'!H18='Оценки_альтернатив'!H16,1,IF('Оценки_альтернатив'!H18&lt;'Оценки_альтернатив'!H16,MIN(9,1+('Оценки_альтернатив'!H16-'Оценки_альтернатив'!H18)),1/MIN(9,1+('Оценки_альтернатив'!H18-'Оценки_альтернатив'!H16))))),1/4)</x:f>
        <x:v>2</x:v>
      </x:c>
      <x:c r="C40" s="111" t="n">
        <x:f>POWER((IF('Оценки_альтернатив'!E18='Оценки_альтернатив'!E17,1,IF('Оценки_альтернатив'!E18&lt;'Оценки_альтернатив'!E17,MIN(9,1+('Оценки_альтернатив'!E17-'Оценки_альтернатив'!E18)),1/MIN(9,1+('Оценки_альтернатив'!E18-'Оценки_альтернатив'!E17)))))*(IF('Оценки_альтернатив'!F18='Оценки_альтернатив'!F17,1,IF('Оценки_альтернатив'!F18&lt;'Оценки_альтернатив'!F17,MIN(9,1+('Оценки_альтернатив'!F17-'Оценки_альтернатив'!F18)),1/MIN(9,1+('Оценки_альтернатив'!F18-'Оценки_альтернатив'!F17)))))*(IF('Оценки_альтернатив'!G18='Оценки_альтернатив'!G17,1,IF('Оценки_альтернатив'!G18&lt;'Оценки_альтернатив'!G17,MIN(9,1+('Оценки_альтернатив'!G17-'Оценки_альтернатив'!G18)),1/MIN(9,1+('Оценки_альтернатив'!G18-'Оценки_альтернатив'!G17)))))*(IF('Оценки_альтернатив'!H18='Оценки_альтернатив'!H17,1,IF('Оценки_альтернатив'!H18&lt;'Оценки_альтернатив'!H17,MIN(9,1+('Оценки_альтернатив'!H17-'Оценки_альтернатив'!H18)),1/MIN(9,1+('Оценки_альтернатив'!H18-'Оценки_альтернатив'!H17))))),1/4)</x:f>
        <x:v>2.449489742783178</x:v>
      </x:c>
      <x:c r="D40" s="111" t="n">
        <x:f>POWER((IF('Оценки_альтернатив'!E18='Оценки_альтернатив'!E18,1,IF('Оценки_альтернатив'!E18&lt;'Оценки_альтернатив'!E18,MIN(9,1+('Оценки_альтернатив'!E18-'Оценки_альтернатив'!E18)),1/MIN(9,1+('Оценки_альтернатив'!E18-'Оценки_альтернатив'!E18)))))*(IF('Оценки_альтернатив'!F18='Оценки_альтернатив'!F18,1,IF('Оценки_альтернатив'!F18&lt;'Оценки_альтернатив'!F18,MIN(9,1+('Оценки_альтернатив'!F18-'Оценки_альтернатив'!F18)),1/MIN(9,1+('Оценки_альтернатив'!F18-'Оценки_альтернатив'!F18)))))*(IF('Оценки_альтернатив'!G18='Оценки_альтернатив'!G18,1,IF('Оценки_альтернатив'!G18&lt;'Оценки_альтернатив'!G18,MIN(9,1+('Оценки_альтернатив'!G18-'Оценки_альтернатив'!G18)),1/MIN(9,1+('Оценки_альтернатив'!G18-'Оценки_альтернатив'!G18)))))*(IF('Оценки_альтернатив'!H18='Оценки_альтернатив'!H18,1,IF('Оценки_альтернатив'!H18&lt;'Оценки_альтернатив'!H18,MIN(9,1+('Оценки_альтернатив'!H18-'Оценки_альтернатив'!H18)),1/MIN(9,1+('Оценки_альтернатив'!H18-'Оценки_альтернатив'!H18))))),1/4)</x:f>
        <x:v>1</x:v>
      </x:c>
      <x:c r="E40" s="111" t="n">
        <x:f>POWER((IF('Оценки_альтернатив'!E18='Оценки_альтернатив'!E19,1,IF('Оценки_альтернатив'!E18&lt;'Оценки_альтернатив'!E19,MIN(9,1+('Оценки_альтернатив'!E19-'Оценки_альтернатив'!E18)),1/MIN(9,1+('Оценки_альтернатив'!E18-'Оценки_альтернатив'!E19)))))*(IF('Оценки_альтернатив'!F18='Оценки_альтернатив'!F19,1,IF('Оценки_альтернатив'!F18&lt;'Оценки_альтернатив'!F19,MIN(9,1+('Оценки_альтернатив'!F19-'Оценки_альтернатив'!F18)),1/MIN(9,1+('Оценки_альтернатив'!F18-'Оценки_альтернатив'!F19)))))*(IF('Оценки_альтернатив'!G18='Оценки_альтернатив'!G19,1,IF('Оценки_альтернатив'!G18&lt;'Оценки_альтернатив'!G19,MIN(9,1+('Оценки_альтернатив'!G19-'Оценки_альтернатив'!G18)),1/MIN(9,1+('Оценки_альтернатив'!G18-'Оценки_альтернатив'!G19)))))*(IF('Оценки_альтернатив'!H18='Оценки_альтернатив'!H19,1,IF('Оценки_альтернатив'!H18&lt;'Оценки_альтернатив'!H19,MIN(9,1+('Оценки_альтернатив'!H19-'Оценки_альтернатив'!H18)),1/MIN(9,1+('Оценки_альтернатив'!H18-'Оценки_альтернатив'!H19))))),1/4)</x:f>
        <x:v>1</x:v>
      </x:c>
      <x:c r="F40" s="111" t="n">
        <x:f>PRODUCT(B40:E40)^(1/4)</x:f>
        <x:v>1.4877378261644902</x:v>
      </x:c>
      <x:c r="G40" s="111" t="n">
        <x:f>F40/SUM($F$38:$F$41)</x:f>
        <x:v>0.34438584691849033</x:v>
      </x:c>
      <x:c r="H40" s="112" t="n">
        <x:f>(B40*$G$38+C40*$G$39+D40*$G$40+E40*$G$41)/G40</x:f>
        <x:v>4.0022808636150025</x:v>
      </x:c>
    </x:row>
    <x:row r="41">
      <x:c r="A41" s="120" t="str">
        <x:v>A4</x:v>
      </x:c>
      <x:c r="B41" s="113" t="n">
        <x:f>POWER((IF('Оценки_альтернатив'!E19='Оценки_альтернатив'!E16,1,IF('Оценки_альтернатив'!E19&lt;'Оценки_альтернатив'!E16,MIN(9,1+('Оценки_альтернатив'!E16-'Оценки_альтернатив'!E19)),1/MIN(9,1+('Оценки_альтернатив'!E19-'Оценки_альтернатив'!E16)))))*(IF('Оценки_альтернатив'!F19='Оценки_альтернатив'!F16,1,IF('Оценки_альтернатив'!F19&lt;'Оценки_альтернатив'!F16,MIN(9,1+('Оценки_альтернатив'!F16-'Оценки_альтернатив'!F19)),1/MIN(9,1+('Оценки_альтернатив'!F19-'Оценки_альтернатив'!F16)))))*(IF('Оценки_альтернатив'!G19='Оценки_альтернатив'!G16,1,IF('Оценки_альтернатив'!G19&lt;'Оценки_альтернатив'!G16,MIN(9,1+('Оценки_альтернатив'!G16-'Оценки_альтернатив'!G19)),1/MIN(9,1+('Оценки_альтернатив'!G19-'Оценки_альтернатив'!G16)))))*(IF('Оценки_альтернатив'!H19='Оценки_альтернатив'!H16,1,IF('Оценки_альтернатив'!H19&lt;'Оценки_альтернатив'!H16,MIN(9,1+('Оценки_альтернатив'!H16-'Оценки_альтернатив'!H19)),1/MIN(9,1+('Оценки_альтернатив'!H19-'Оценки_альтернатив'!H16))))),1/4)</x:f>
        <x:v>1.8612097182041991</x:v>
      </x:c>
      <x:c r="C41" s="113" t="n">
        <x:f>POWER((IF('Оценки_альтернатив'!E19='Оценки_альтернатив'!E17,1,IF('Оценки_альтернатив'!E19&lt;'Оценки_альтернатив'!E17,MIN(9,1+('Оценки_альтернатив'!E17-'Оценки_альтернатив'!E19)),1/MIN(9,1+('Оценки_альтернатив'!E19-'Оценки_альтернатив'!E17)))))*(IF('Оценки_альтернатив'!F19='Оценки_альтернатив'!F17,1,IF('Оценки_альтернатив'!F19&lt;'Оценки_альтернатив'!F17,MIN(9,1+('Оценки_альтернатив'!F17-'Оценки_альтернатив'!F19)),1/MIN(9,1+('Оценки_альтернатив'!F19-'Оценки_альтернатив'!F17)))))*(IF('Оценки_альтернатив'!G19='Оценки_альтернатив'!G17,1,IF('Оценки_альтернатив'!G19&lt;'Оценки_альтернатив'!G17,MIN(9,1+('Оценки_альтернатив'!G17-'Оценки_альтернатив'!G19)),1/MIN(9,1+('Оценки_альтернатив'!G19-'Оценки_альтернатив'!G17)))))*(IF('Оценки_альтернатив'!H19='Оценки_альтернатив'!H17,1,IF('Оценки_альтернатив'!H19&lt;'Оценки_альтернатив'!H17,MIN(9,1+('Оценки_альтернатив'!H17-'Оценки_альтернатив'!H19)),1/MIN(9,1+('Оценки_альтернатив'!H19-'Оценки_альтернатив'!H17))))),1/4)</x:f>
        <x:v>2.449489742783178</x:v>
      </x:c>
      <x:c r="D41" s="113" t="n">
        <x:f>POWER((IF('Оценки_альтернатив'!E19='Оценки_альтернатив'!E18,1,IF('Оценки_альтернатив'!E19&lt;'Оценки_альтернатив'!E18,MIN(9,1+('Оценки_альтернатив'!E18-'Оценки_альтернатив'!E19)),1/MIN(9,1+('Оценки_альтернатив'!E19-'Оценки_альтернатив'!E18)))))*(IF('Оценки_альтернатив'!F19='Оценки_альтернатив'!F18,1,IF('Оценки_альтернатив'!F19&lt;'Оценки_альтернатив'!F18,MIN(9,1+('Оценки_альтернатив'!F18-'Оценки_альтернатив'!F19)),1/MIN(9,1+('Оценки_альтернатив'!F19-'Оценки_альтернатив'!F18)))))*(IF('Оценки_альтернатив'!G19='Оценки_альтернатив'!G18,1,IF('Оценки_альтернатив'!G19&lt;'Оценки_альтернатив'!G18,MIN(9,1+('Оценки_альтернатив'!G18-'Оценки_альтернатив'!G19)),1/MIN(9,1+('Оценки_альтернатив'!G19-'Оценки_альтернатив'!G18)))))*(IF('Оценки_альтернатив'!H19='Оценки_альтернатив'!H18,1,IF('Оценки_альтернатив'!H19&lt;'Оценки_альтернатив'!H18,MIN(9,1+('Оценки_альтернатив'!H18-'Оценки_альтернатив'!H19)),1/MIN(9,1+('Оценки_альтернатив'!H19-'Оценки_альтернатив'!H18))))),1/4)</x:f>
        <x:v>1</x:v>
      </x:c>
      <x:c r="E41" s="113" t="n">
        <x:f>POWER((IF('Оценки_альтернатив'!E19='Оценки_альтернатив'!E19,1,IF('Оценки_альтернатив'!E19&lt;'Оценки_альтернатив'!E19,MIN(9,1+('Оценки_альтернатив'!E19-'Оценки_альтернатив'!E19)),1/MIN(9,1+('Оценки_альтернатив'!E19-'Оценки_альтернатив'!E19)))))*(IF('Оценки_альтернатив'!F19='Оценки_альтернатив'!F19,1,IF('Оценки_альтернатив'!F19&lt;'Оценки_альтернатив'!F19,MIN(9,1+('Оценки_альтернатив'!F19-'Оценки_альтернатив'!F19)),1/MIN(9,1+('Оценки_альтернатив'!F19-'Оценки_альтернатив'!F19)))))*(IF('Оценки_альтернатив'!G19='Оценки_альтернатив'!G19,1,IF('Оценки_альтернатив'!G19&lt;'Оценки_альтернатив'!G19,MIN(9,1+('Оценки_альтернатив'!G19-'Оценки_альтернатив'!G19)),1/MIN(9,1+('Оценки_альтернатив'!G19-'Оценки_альтернатив'!G19)))))*(IF('Оценки_альтернатив'!H19='Оценки_альтернатив'!H19,1,IF('Оценки_альтернатив'!H19&lt;'Оценки_альтернатив'!H19,MIN(9,1+('Оценки_альтернатив'!H19-'Оценки_альтернатив'!H19)),1/MIN(9,1+('Оценки_альтернатив'!H19-'Оценки_альтернатив'!H19))))),1/4)</x:f>
        <x:v>1</x:v>
      </x:c>
      <x:c r="F41" s="113" t="n">
        <x:f>PRODUCT(B41:E41)^(1/4)</x:f>
        <x:v>1.4612271542086477</x:v>
      </x:c>
      <x:c r="G41" s="113" t="n">
        <x:f>F41/SUM($F$38:$F$41)</x:f>
        <x:v>0.33824908004107035</x:v>
      </x:c>
      <x:c r="H41" s="114" t="n">
        <x:f>(B41*$G$38+C41*$G$39+D41*$G$40+E41*$G$41)/G41</x:f>
        <x:v>4.000323293767381</x:v>
      </x:c>
    </x:row>
    <x:row r="42">
      <x:c r="A42" s="60"/>
      <x:c r="B42" s="60"/>
      <x:c r="C42" s="60"/>
      <x:c r="D42" s="60"/>
      <x:c r="E42" s="60"/>
      <x:c r="F42" s="60"/>
      <x:c r="G42" s="60"/>
      <x:c r="H42" s="60"/>
    </x:row>
    <x:row r="43">
      <x:c r="A43" s="38" t="str">
        <x:v>λmax</x:v>
      </x:c>
      <x:c r="B43" s="39" t="str">
        <x:v>CI</x:v>
      </x:c>
      <x:c r="C43" s="39" t="str">
        <x:v>RI</x:v>
      </x:c>
      <x:c r="D43" s="40" t="str">
        <x:v>CR</x:v>
      </x:c>
      <x:c r="E43" s="60"/>
      <x:c r="F43" s="60"/>
      <x:c r="G43" s="60"/>
      <x:c r="H43" s="60"/>
    </x:row>
    <x:row r="44">
      <x:c r="A44" s="129" t="n">
        <x:f>AVERAGE(H38:H41)</x:f>
        <x:v>4.001940102307481</x:v>
      </x:c>
      <x:c r="B44" s="113" t="n">
        <x:f>(A44-4)/3</x:f>
        <x:v>0.000646700769160328</x:v>
      </x:c>
      <x:c r="C44" s="113" t="n">
        <x:v>0.9</x:v>
      </x:c>
      <x:c r="D44" s="114" t="n">
        <x:f>B44/C44</x:f>
        <x:v>0.0007185564101781423</x:v>
      </x:c>
      <x:c r="E44" s="60"/>
      <x:c r="F44" s="60"/>
      <x:c r="G44" s="60"/>
      <x:c r="H44" s="60"/>
    </x:row>
    <x:row r="45">
      <x:c r="A45" s="60"/>
      <x:c r="B45" s="60"/>
      <x:c r="C45" s="60"/>
      <x:c r="D45" s="60"/>
      <x:c r="E45" s="60"/>
      <x:c r="F45" s="60"/>
      <x:c r="G45" s="60"/>
      <x:c r="H45" s="60"/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14" t="str">
        <x:v>C5. Удобство оценки и планирования (выгода)</x:v>
      </x:c>
      <x:c r="B47" s="14"/>
      <x:c r="C47" s="14"/>
      <x:c r="D47" s="14"/>
      <x:c r="E47" s="14"/>
      <x:c r="F47" s="14"/>
      <x:c r="G47" s="14"/>
      <x:c r="H47" s="14"/>
    </x:row>
    <x:row r="48">
      <x:c r="A48" s="38"/>
      <x:c r="B48" s="39" t="str">
        <x:v>A1</x:v>
      </x:c>
      <x:c r="C48" s="39" t="str">
        <x:v>A2</x:v>
      </x:c>
      <x:c r="D48" s="39" t="str">
        <x:v>A3</x:v>
      </x:c>
      <x:c r="E48" s="39" t="str">
        <x:v>A4</x:v>
      </x:c>
      <x:c r="F48" s="39" t="str">
        <x:v>GM</x:v>
      </x:c>
      <x:c r="G48" s="39" t="str">
        <x:v>Лок. вес</x:v>
      </x:c>
      <x:c r="H48" s="40" t="str">
        <x:v>λi</x:v>
      </x:c>
    </x:row>
    <x:row r="49">
      <x:c r="A49" s="119" t="str">
        <x:v>A1</x:v>
      </x:c>
      <x:c r="B49" s="111" t="n">
        <x:f>POWER((IF('Оценки_альтернатив'!E20='Оценки_альтернатив'!E20,1,IF('Оценки_альтернатив'!E20&gt;'Оценки_альтернатив'!E20,MIN(9,1+('Оценки_альтернатив'!E20-'Оценки_альтернатив'!E20)),1/MIN(9,1+('Оценки_альтернатив'!E20-'Оценки_альтернатив'!E20)))))*(IF('Оценки_альтернатив'!F20='Оценки_альтернатив'!F20,1,IF('Оценки_альтернатив'!F20&gt;'Оценки_альтернатив'!F20,MIN(9,1+('Оценки_альтернатив'!F20-'Оценки_альтернатив'!F20)),1/MIN(9,1+('Оценки_альтернатив'!F20-'Оценки_альтернатив'!F20)))))*(IF('Оценки_альтернатив'!G20='Оценки_альтернатив'!G20,1,IF('Оценки_альтернатив'!G20&gt;'Оценки_альтернатив'!G20,MIN(9,1+('Оценки_альтернатив'!G20-'Оценки_альтернатив'!G20)),1/MIN(9,1+('Оценки_альтернатив'!G20-'Оценки_альтернатив'!G20)))))*(IF('Оценки_альтернатив'!H20='Оценки_альтернатив'!H20,1,IF('Оценки_альтернатив'!H20&gt;'Оценки_альтернатив'!H20,MIN(9,1+('Оценки_альтернатив'!H20-'Оценки_альтернатив'!H20)),1/MIN(9,1+('Оценки_альтернатив'!H20-'Оценки_альтернатив'!H20))))),1/4)</x:f>
        <x:v>1</x:v>
      </x:c>
      <x:c r="C49" s="111" t="n">
        <x:f>POWER((IF('Оценки_альтернатив'!E20='Оценки_альтернатив'!E21,1,IF('Оценки_альтернатив'!E20&gt;'Оценки_альтернатив'!E21,MIN(9,1+('Оценки_альтернатив'!E20-'Оценки_альтернатив'!E21)),1/MIN(9,1+('Оценки_альтернатив'!E21-'Оценки_альтернатив'!E20)))))*(IF('Оценки_альтернатив'!F20='Оценки_альтернатив'!F21,1,IF('Оценки_альтернатив'!F20&gt;'Оценки_альтернатив'!F21,MIN(9,1+('Оценки_альтернатив'!F20-'Оценки_альтернатив'!F21)),1/MIN(9,1+('Оценки_альтернатив'!F21-'Оценки_альтернатив'!F20)))))*(IF('Оценки_альтернатив'!G20='Оценки_альтернатив'!G21,1,IF('Оценки_альтернатив'!G20&gt;'Оценки_альтернатив'!G21,MIN(9,1+('Оценки_альтернатив'!G20-'Оценки_альтернатив'!G21)),1/MIN(9,1+('Оценки_альтернатив'!G21-'Оценки_альтернатив'!G20)))))*(IF('Оценки_альтернатив'!H20='Оценки_альтернатив'!H21,1,IF('Оценки_альтернатив'!H20&gt;'Оценки_альтернатив'!H21,MIN(9,1+('Оценки_альтернатив'!H20-'Оценки_альтернатив'!H21)),1/MIN(9,1+('Оценки_альтернатив'!H21-'Оценки_альтернатив'!H20))))),1/4)</x:f>
        <x:v>1</x:v>
      </x:c>
      <x:c r="D49" s="111" t="n">
        <x:f>POWER((IF('Оценки_альтернатив'!E20='Оценки_альтернатив'!E22,1,IF('Оценки_альтернатив'!E20&gt;'Оценки_альтернатив'!E22,MIN(9,1+('Оценки_альтернатив'!E20-'Оценки_альтернатив'!E22)),1/MIN(9,1+('Оценки_альтернатив'!E22-'Оценки_альтернатив'!E20)))))*(IF('Оценки_альтернатив'!F20='Оценки_альтернатив'!F22,1,IF('Оценки_альтернатив'!F20&gt;'Оценки_альтернатив'!F22,MIN(9,1+('Оценки_альтернатив'!F20-'Оценки_альтернатив'!F22)),1/MIN(9,1+('Оценки_альтернатив'!F22-'Оценки_альтернатив'!F20)))))*(IF('Оценки_альтернатив'!G20='Оценки_альтернатив'!G22,1,IF('Оценки_альтернатив'!G20&gt;'Оценки_альтернатив'!G22,MIN(9,1+('Оценки_альтернатив'!G20-'Оценки_альтернатив'!G22)),1/MIN(9,1+('Оценки_альтернатив'!G22-'Оценки_альтернатив'!G20)))))*(IF('Оценки_альтернатив'!H20='Оценки_альтернатив'!H22,1,IF('Оценки_альтернатив'!H20&gt;'Оценки_альтернатив'!H22,MIN(9,1+('Оценки_альтернатив'!H20-'Оценки_альтернатив'!H22)),1/MIN(9,1+('Оценки_альтернатив'!H22-'Оценки_альтернатив'!H20))))),1/4)</x:f>
        <x:v>1.681792830507429</x:v>
      </x:c>
      <x:c r="E49" s="111" t="n">
        <x:f>POWER((IF('Оценки_альтернатив'!E20='Оценки_альтернатив'!E23,1,IF('Оценки_альтернатив'!E20&gt;'Оценки_альтернатив'!E23,MIN(9,1+('Оценки_альтернатив'!E20-'Оценки_альтернатив'!E23)),1/MIN(9,1+('Оценки_альтернатив'!E23-'Оценки_альтернатив'!E20)))))*(IF('Оценки_альтернатив'!F20='Оценки_альтернатив'!F23,1,IF('Оценки_альтернатив'!F20&gt;'Оценки_альтернатив'!F23,MIN(9,1+('Оценки_альтернатив'!F20-'Оценки_альтернатив'!F23)),1/MIN(9,1+('Оценки_альтернатив'!F23-'Оценки_альтернатив'!F20)))))*(IF('Оценки_альтернатив'!G20='Оценки_альтернатив'!G23,1,IF('Оценки_альтернатив'!G20&gt;'Оценки_альтернатив'!G23,MIN(9,1+('Оценки_альтернатив'!G20-'Оценки_альтернатив'!G23)),1/MIN(9,1+('Оценки_альтернатив'!G23-'Оценки_альтернатив'!G20)))))*(IF('Оценки_альтернатив'!H20='Оценки_альтернатив'!H23,1,IF('Оценки_альтернатив'!H20&gt;'Оценки_альтернатив'!H23,MIN(9,1+('Оценки_альтернатив'!H20-'Оценки_альтернатив'!H23)),1/MIN(9,1+('Оценки_альтернатив'!H23-'Оценки_альтернатив'!H20))))),1/4)</x:f>
        <x:v>1.8612097182041991</x:v>
      </x:c>
      <x:c r="F49" s="111" t="n">
        <x:f>PRODUCT(B49:E49)^(1/4)</x:f>
        <x:v>1.3301234559744795</x:v>
      </x:c>
      <x:c r="G49" s="111" t="n">
        <x:f>F49/SUM($F$49:$F$52)</x:f>
        <x:v>0.3182846881024082</x:v>
      </x:c>
      <x:c r="H49" s="112" t="n">
        <x:f>(B49*$G$49+C49*$G$50+D49*$G$51+E49*$G$52)/G49</x:f>
        <x:v>4.000964120384555</x:v>
      </x:c>
    </x:row>
    <x:row r="50">
      <x:c r="A50" s="119" t="str">
        <x:v>A2</x:v>
      </x:c>
      <x:c r="B50" s="111" t="n">
        <x:f>POWER((IF('Оценки_альтернатив'!E21='Оценки_альтернатив'!E20,1,IF('Оценки_альтернатив'!E21&gt;'Оценки_альтернатив'!E20,MIN(9,1+('Оценки_альтернатив'!E21-'Оценки_альтернатив'!E20)),1/MIN(9,1+('Оценки_альтернатив'!E20-'Оценки_альтернатив'!E21)))))*(IF('Оценки_альтернатив'!F21='Оценки_альтернатив'!F20,1,IF('Оценки_альтернатив'!F21&gt;'Оценки_альтернатив'!F20,MIN(9,1+('Оценки_альтернатив'!F21-'Оценки_альтернатив'!F20)),1/MIN(9,1+('Оценки_альтернатив'!F20-'Оценки_альтернатив'!F21)))))*(IF('Оценки_альтернатив'!G21='Оценки_альтернатив'!G20,1,IF('Оценки_альтернатив'!G21&gt;'Оценки_альтернатив'!G20,MIN(9,1+('Оценки_альтернатив'!G21-'Оценки_альтернатив'!G20)),1/MIN(9,1+('Оценки_альтернатив'!G20-'Оценки_альтернатив'!G21)))))*(IF('Оценки_альтернатив'!H21='Оценки_альтернатив'!H20,1,IF('Оценки_альтернатив'!H21&gt;'Оценки_альтернатив'!H20,MIN(9,1+('Оценки_альтернатив'!H21-'Оценки_альтернатив'!H20)),1/MIN(9,1+('Оценки_альтернатив'!H20-'Оценки_альтернатив'!H21))))),1/4)</x:f>
        <x:v>1</x:v>
      </x:c>
      <x:c r="C50" s="111" t="n">
        <x:f>POWER((IF('Оценки_альтернатив'!E21='Оценки_альтернатив'!E21,1,IF('Оценки_альтернатив'!E21&gt;'Оценки_альтернатив'!E21,MIN(9,1+('Оценки_альтернатив'!E21-'Оценки_альтернатив'!E21)),1/MIN(9,1+('Оценки_альтернатив'!E21-'Оценки_альтернатив'!E21)))))*(IF('Оценки_альтернатив'!F21='Оценки_альтернатив'!F21,1,IF('Оценки_альтернатив'!F21&gt;'Оценки_альтернатив'!F21,MIN(9,1+('Оценки_альтернатив'!F21-'Оценки_альтернатив'!F21)),1/MIN(9,1+('Оценки_альтернатив'!F21-'Оценки_альтернатив'!F21)))))*(IF('Оценки_альтернатив'!G21='Оценки_альтернатив'!G21,1,IF('Оценки_альтернатив'!G21&gt;'Оценки_альтернатив'!G21,MIN(9,1+('Оценки_альтернатив'!G21-'Оценки_альтернатив'!G21)),1/MIN(9,1+('Оценки_альтернатив'!G21-'Оценки_альтернатив'!G21)))))*(IF('Оценки_альтернатив'!H21='Оценки_альтернатив'!H21,1,IF('Оценки_альтернатив'!H21&gt;'Оценки_альтернатив'!H21,MIN(9,1+('Оценки_альтернатив'!H21-'Оценки_альтернатив'!H21)),1/MIN(9,1+('Оценки_альтернатив'!H21-'Оценки_альтернатив'!H21))))),1/4)</x:f>
        <x:v>1</x:v>
      </x:c>
      <x:c r="D50" s="111" t="n">
        <x:f>POWER((IF('Оценки_альтернатив'!E21='Оценки_альтернатив'!E22,1,IF('Оценки_альтернатив'!E21&gt;'Оценки_альтернатив'!E22,MIN(9,1+('Оценки_альтернатив'!E21-'Оценки_альтернатив'!E22)),1/MIN(9,1+('Оценки_альтернатив'!E22-'Оценки_альтернатив'!E21)))))*(IF('Оценки_альтернатив'!F21='Оценки_альтернатив'!F22,1,IF('Оценки_альтернатив'!F21&gt;'Оценки_альтернатив'!F22,MIN(9,1+('Оценки_альтернатив'!F21-'Оценки_альтернатив'!F22)),1/MIN(9,1+('Оценки_альтернатив'!F22-'Оценки_альтернатив'!F21)))))*(IF('Оценки_альтернатив'!G21='Оценки_альтернатив'!G22,1,IF('Оценки_альтернатив'!G21&gt;'Оценки_альтернатив'!G22,MIN(9,1+('Оценки_альтернатив'!G21-'Оценки_альтернатив'!G22)),1/MIN(9,1+('Оценки_альтернатив'!G22-'Оценки_альтернатив'!G21)))))*(IF('Оценки_альтернатив'!H21='Оценки_альтернатив'!H22,1,IF('Оценки_альтернатив'!H21&gt;'Оценки_альтернатив'!H22,MIN(9,1+('Оценки_альтернатив'!H21-'Оценки_альтернатив'!H22)),1/MIN(9,1+('Оценки_альтернатив'!H22-'Оценки_альтернатив'!H21))))),1/4)</x:f>
        <x:v>1.681792830507429</x:v>
      </x:c>
      <x:c r="E50" s="111" t="n">
        <x:f>POWER((IF('Оценки_альтернатив'!E21='Оценки_альтернатив'!E23,1,IF('Оценки_альтернатив'!E21&gt;'Оценки_альтернатив'!E23,MIN(9,1+('Оценки_альтернатив'!E21-'Оценки_альтернатив'!E23)),1/MIN(9,1+('Оценки_альтернатив'!E23-'Оценки_альтернатив'!E21)))))*(IF('Оценки_альтернатив'!F21='Оценки_альтернатив'!F23,1,IF('Оценки_альтернатив'!F21&gt;'Оценки_альтернатив'!F23,MIN(9,1+('Оценки_альтернатив'!F21-'Оценки_альтернатив'!F23)),1/MIN(9,1+('Оценки_альтернатив'!F23-'Оценки_альтернатив'!F21)))))*(IF('Оценки_альтернатив'!G21='Оценки_альтернатив'!G23,1,IF('Оценки_альтернатив'!G21&gt;'Оценки_альтернатив'!G23,MIN(9,1+('Оценки_альтернатив'!G21-'Оценки_альтернатив'!G23)),1/MIN(9,1+('Оценки_альтернатив'!G23-'Оценки_альтернатив'!G21)))))*(IF('Оценки_альтернатив'!H21='Оценки_альтернатив'!H23,1,IF('Оценки_альтернатив'!H21&gt;'Оценки_альтернатив'!H23,MIN(9,1+('Оценки_альтернатив'!H21-'Оценки_альтернатив'!H23)),1/MIN(9,1+('Оценки_альтернатив'!H23-'Оценки_альтернатив'!H21))))),1/4)</x:f>
        <x:v>2</x:v>
      </x:c>
      <x:c r="F50" s="111" t="n">
        <x:f>PRODUCT(B50:E50)^(1/4)</x:f>
        <x:v>1.3542555469368927</x:v>
      </x:c>
      <x:c r="G50" s="111" t="n">
        <x:f>F50/SUM($F$49:$F$52)</x:f>
        <x:v>0.3240592461035702</x:v>
      </x:c>
      <x:c r="H50" s="112" t="n">
        <x:f>(B50*$G$49+C50*$G$50+D50*$G$51+E50*$G$52)/G50</x:f>
        <x:v>4.000323293767382</x:v>
      </x:c>
    </x:row>
    <x:row r="51">
      <x:c r="A51" s="119" t="str">
        <x:v>A3</x:v>
      </x:c>
      <x:c r="B51" s="111" t="n">
        <x:f>POWER((IF('Оценки_альтернатив'!E22='Оценки_альтернатив'!E20,1,IF('Оценки_альтернатив'!E22&gt;'Оценки_альтернатив'!E20,MIN(9,1+('Оценки_альтернатив'!E22-'Оценки_альтернатив'!E20)),1/MIN(9,1+('Оценки_альтернатив'!E20-'Оценки_альтернатив'!E22)))))*(IF('Оценки_альтернатив'!F22='Оценки_альтернатив'!F20,1,IF('Оценки_альтернатив'!F22&gt;'Оценки_альтернатив'!F20,MIN(9,1+('Оценки_альтернатив'!F22-'Оценки_альтернатив'!F20)),1/MIN(9,1+('Оценки_альтернатив'!F20-'Оценки_альтернатив'!F22)))))*(IF('Оценки_альтернатив'!G22='Оценки_альтернатив'!G20,1,IF('Оценки_альтернатив'!G22&gt;'Оценки_альтернатив'!G20,MIN(9,1+('Оценки_альтернатив'!G22-'Оценки_альтернатив'!G20)),1/MIN(9,1+('Оценки_альтернатив'!G20-'Оценки_альтернатив'!G22)))))*(IF('Оценки_альтернатив'!H22='Оценки_альтернатив'!H20,1,IF('Оценки_альтернатив'!H22&gt;'Оценки_альтернатив'!H20,MIN(9,1+('Оценки_альтернатив'!H22-'Оценки_альтернатив'!H20)),1/MIN(9,1+('Оценки_альтернатив'!H20-'Оценки_альтернатив'!H22))))),1/4)</x:f>
        <x:v>0.5946035575013605</x:v>
      </x:c>
      <x:c r="C51" s="111" t="n">
        <x:f>POWER((IF('Оценки_альтернатив'!E22='Оценки_альтернатив'!E21,1,IF('Оценки_альтернатив'!E22&gt;'Оценки_альтернатив'!E21,MIN(9,1+('Оценки_альтернатив'!E22-'Оценки_альтернатив'!E21)),1/MIN(9,1+('Оценки_альтернатив'!E21-'Оценки_альтернатив'!E22)))))*(IF('Оценки_альтернатив'!F22='Оценки_альтернатив'!F21,1,IF('Оценки_альтернатив'!F22&gt;'Оценки_альтернатив'!F21,MIN(9,1+('Оценки_альтернатив'!F22-'Оценки_альтернатив'!F21)),1/MIN(9,1+('Оценки_альтернатив'!F21-'Оценки_альтернатив'!F22)))))*(IF('Оценки_альтернатив'!G22='Оценки_альтернатив'!G21,1,IF('Оценки_альтернатив'!G22&gt;'Оценки_альтернатив'!G21,MIN(9,1+('Оценки_альтернатив'!G22-'Оценки_альтернатив'!G21)),1/MIN(9,1+('Оценки_альтернатив'!G21-'Оценки_альтернатив'!G22)))))*(IF('Оценки_альтернатив'!H22='Оценки_альтернатив'!H21,1,IF('Оценки_альтернатив'!H22&gt;'Оценки_альтернатив'!H21,MIN(9,1+('Оценки_альтернатив'!H22-'Оценки_альтернатив'!H21)),1/MIN(9,1+('Оценки_альтернатив'!H21-'Оценки_альтернатив'!H22))))),1/4)</x:f>
        <x:v>0.5946035575013605</x:v>
      </x:c>
      <x:c r="D51" s="111" t="n">
        <x:f>POWER((IF('Оценки_альтернатив'!E22='Оценки_альтернатив'!E22,1,IF('Оценки_альтернатив'!E22&gt;'Оценки_альтернатив'!E22,MIN(9,1+('Оценки_альтернатив'!E22-'Оценки_альтернатив'!E22)),1/MIN(9,1+('Оценки_альтернатив'!E22-'Оценки_альтернатив'!E22)))))*(IF('Оценки_альтернатив'!F22='Оценки_альтернатив'!F22,1,IF('Оценки_альтернатив'!F22&gt;'Оценки_альтернатив'!F22,MIN(9,1+('Оценки_альтернатив'!F22-'Оценки_альтернатив'!F22)),1/MIN(9,1+('Оценки_альтернатив'!F22-'Оценки_альтернатив'!F22)))))*(IF('Оценки_альтернатив'!G22='Оценки_альтернатив'!G22,1,IF('Оценки_альтернатив'!G22&gt;'Оценки_альтернатив'!G22,MIN(9,1+('Оценки_альтернатив'!G22-'Оценки_альтернатив'!G22)),1/MIN(9,1+('Оценки_альтернатив'!G22-'Оценки_альтернатив'!G22)))))*(IF('Оценки_альтернатив'!H22='Оценки_альтернатив'!H22,1,IF('Оценки_альтернатив'!H22&gt;'Оценки_альтернатив'!H22,MIN(9,1+('Оценки_альтернатив'!H22-'Оценки_альтернатив'!H22)),1/MIN(9,1+('Оценки_альтернатив'!H22-'Оценки_альтернатив'!H22))))),1/4)</x:f>
        <x:v>1</x:v>
      </x:c>
      <x:c r="E51" s="111" t="n">
        <x:f>POWER((IF('Оценки_альтернатив'!E22='Оценки_альтернатив'!E23,1,IF('Оценки_альтернатив'!E22&gt;'Оценки_альтернатив'!E23,MIN(9,1+('Оценки_альтернатив'!E22-'Оценки_альтернатив'!E23)),1/MIN(9,1+('Оценки_альтернатив'!E23-'Оценки_альтернатив'!E22)))))*(IF('Оценки_альтернатив'!F22='Оценки_альтернатив'!F23,1,IF('Оценки_альтернатив'!F22&gt;'Оценки_альтернатив'!F23,MIN(9,1+('Оценки_альтернатив'!F22-'Оценки_альтернатив'!F23)),1/MIN(9,1+('Оценки_альтернатив'!F23-'Оценки_альтернатив'!F22)))))*(IF('Оценки_альтернатив'!G22='Оценки_альтернатив'!G23,1,IF('Оценки_альтернатив'!G22&gt;'Оценки_альтернатив'!G23,MIN(9,1+('Оценки_альтернатив'!G22-'Оценки_альтернатив'!G23)),1/MIN(9,1+('Оценки_альтернатив'!G23-'Оценки_альтернатив'!G22)))))*(IF('Оценки_альтернатив'!H22='Оценки_альтернатив'!H23,1,IF('Оценки_альтернатив'!H22&gt;'Оценки_альтернатив'!H23,MIN(9,1+('Оценки_альтернатив'!H22-'Оценки_альтернатив'!H23)),1/MIN(9,1+('Оценки_альтернатив'!H23-'Оценки_альтернатив'!H22))))),1/4)</x:f>
        <x:v>1.189207115002721</x:v>
      </x:c>
      <x:c r="F51" s="111" t="n">
        <x:f>PRODUCT(B51:E51)^(1/4)</x:f>
        <x:v>0.8052451659746271</x:v>
      </x:c>
      <x:c r="G51" s="111" t="n">
        <x:f>F51/SUM($F$49:$F$52)</x:f>
        <x:v>0.19268678057439173</x:v>
      </x:c>
      <x:c r="H51" s="112" t="n">
        <x:f>(B51*$G$49+C51*$G$50+D51*$G$51+E51*$G$52)/G51</x:f>
        <x:v>4.000323293767381</x:v>
      </x:c>
    </x:row>
    <x:row r="52">
      <x:c r="A52" s="120" t="str">
        <x:v>A4</x:v>
      </x:c>
      <x:c r="B52" s="113" t="n">
        <x:f>POWER((IF('Оценки_альтернатив'!E23='Оценки_альтернатив'!E20,1,IF('Оценки_альтернатив'!E23&gt;'Оценки_альтернатив'!E20,MIN(9,1+('Оценки_альтернатив'!E23-'Оценки_альтернатив'!E20)),1/MIN(9,1+('Оценки_альтернатив'!E20-'Оценки_альтернатив'!E23)))))*(IF('Оценки_альтернатив'!F23='Оценки_альтернатив'!F20,1,IF('Оценки_альтернатив'!F23&gt;'Оценки_альтернатив'!F20,MIN(9,1+('Оценки_альтернатив'!F23-'Оценки_альтернатив'!F20)),1/MIN(9,1+('Оценки_альтернатив'!F20-'Оценки_альтернатив'!F23)))))*(IF('Оценки_альтернатив'!G23='Оценки_альтернатив'!G20,1,IF('Оценки_альтернатив'!G23&gt;'Оценки_альтернатив'!G20,MIN(9,1+('Оценки_альтернатив'!G23-'Оценки_альтернатив'!G20)),1/MIN(9,1+('Оценки_альтернатив'!G20-'Оценки_альтернатив'!G23)))))*(IF('Оценки_альтернатив'!H23='Оценки_альтернатив'!H20,1,IF('Оценки_альтернатив'!H23&gt;'Оценки_альтернатив'!H20,MIN(9,1+('Оценки_альтернатив'!H23-'Оценки_альтернатив'!H20)),1/MIN(9,1+('Оценки_альтернатив'!H20-'Оценки_альтернатив'!H23))))),1/4)</x:f>
        <x:v>0.537284965911771</x:v>
      </x:c>
      <x:c r="C52" s="113" t="n">
        <x:f>POWER((IF('Оценки_альтернатив'!E23='Оценки_альтернатив'!E21,1,IF('Оценки_альтернатив'!E23&gt;'Оценки_альтернатив'!E21,MIN(9,1+('Оценки_альтернатив'!E23-'Оценки_альтернатив'!E21)),1/MIN(9,1+('Оценки_альтернатив'!E21-'Оценки_альтернатив'!E23)))))*(IF('Оценки_альтернатив'!F23='Оценки_альтернатив'!F21,1,IF('Оценки_альтернатив'!F23&gt;'Оценки_альтернатив'!F21,MIN(9,1+('Оценки_альтернатив'!F23-'Оценки_альтернатив'!F21)),1/MIN(9,1+('Оценки_альтернатив'!F21-'Оценки_альтернатив'!F23)))))*(IF('Оценки_альтернатив'!G23='Оценки_альтернатив'!G21,1,IF('Оценки_альтернатив'!G23&gt;'Оценки_альтернатив'!G21,MIN(9,1+('Оценки_альтернатив'!G23-'Оценки_альтернатив'!G21)),1/MIN(9,1+('Оценки_альтернатив'!G21-'Оценки_альтернатив'!G23)))))*(IF('Оценки_альтернатив'!H23='Оценки_альтернатив'!H21,1,IF('Оценки_альтернатив'!H23&gt;'Оценки_альтернатив'!H21,MIN(9,1+('Оценки_альтернатив'!H23-'Оценки_альтернатив'!H21)),1/MIN(9,1+('Оценки_альтернатив'!H21-'Оценки_альтернатив'!H23))))),1/4)</x:f>
        <x:v>0.5</x:v>
      </x:c>
      <x:c r="D52" s="113" t="n">
        <x:f>POWER((IF('Оценки_альтернатив'!E23='Оценки_альтернатив'!E22,1,IF('Оценки_альтернатив'!E23&gt;'Оценки_альтернатив'!E22,MIN(9,1+('Оценки_альтернатив'!E23-'Оценки_альтернатив'!E22)),1/MIN(9,1+('Оценки_альтернатив'!E22-'Оценки_альтернатив'!E23)))))*(IF('Оценки_альтернатив'!F23='Оценки_альтернатив'!F22,1,IF('Оценки_альтернатив'!F23&gt;'Оценки_альтернатив'!F22,MIN(9,1+('Оценки_альтернатив'!F23-'Оценки_альтернатив'!F22)),1/MIN(9,1+('Оценки_альтернатив'!F22-'Оценки_альтернатив'!F23)))))*(IF('Оценки_альтернатив'!G23='Оценки_альтернатив'!G22,1,IF('Оценки_альтернатив'!G23&gt;'Оценки_альтернатив'!G22,MIN(9,1+('Оценки_альтернатив'!G23-'Оценки_альтернатив'!G22)),1/MIN(9,1+('Оценки_альтернатив'!G22-'Оценки_альтернатив'!G23)))))*(IF('Оценки_альтернатив'!H23='Оценки_альтернатив'!H22,1,IF('Оценки_альтернатив'!H23&gt;'Оценки_альтернатив'!H22,MIN(9,1+('Оценки_альтернатив'!H23-'Оценки_альтернатив'!H22)),1/MIN(9,1+('Оценки_альтернатив'!H22-'Оценки_альтернатив'!H23))))),1/4)</x:f>
        <x:v>0.8408964152537145</x:v>
      </x:c>
      <x:c r="E52" s="113" t="n">
        <x:f>POWER((IF('Оценки_альтернатив'!E23='Оценки_альтернатив'!E23,1,IF('Оценки_альтернатив'!E23&gt;'Оценки_альтернатив'!E23,MIN(9,1+('Оценки_альтернатив'!E23-'Оценки_альтернатив'!E23)),1/MIN(9,1+('Оценки_альтернатив'!E23-'Оценки_альтернатив'!E23)))))*(IF('Оценки_альтернатив'!F23='Оценки_альтернатив'!F23,1,IF('Оценки_альтернатив'!F23&gt;'Оценки_альтернатив'!F23,MIN(9,1+('Оценки_альтернатив'!F23-'Оценки_альтернатив'!F23)),1/MIN(9,1+('Оценки_альтернатив'!F23-'Оценки_альтернатив'!F23)))))*(IF('Оценки_альтернатив'!G23='Оценки_альтернатив'!G23,1,IF('Оценки_альтернатив'!G23&gt;'Оценки_альтернатив'!G23,MIN(9,1+('Оценки_альтернатив'!G23-'Оценки_альтернатив'!G23)),1/MIN(9,1+('Оценки_альтернатив'!G23-'Оценки_альтернатив'!G23)))))*(IF('Оценки_альтернатив'!H23='Оценки_альтернатив'!H23,1,IF('Оценки_альтернатив'!H23&gt;'Оценки_альтернатив'!H23,MIN(9,1+('Оценки_альтернатив'!H23-'Оценки_альтернатив'!H23)),1/MIN(9,1+('Оценки_альтернатив'!H23-'Оценки_альтернатив'!H23))))),1/4)</x:f>
        <x:v>1</x:v>
      </x:c>
      <x:c r="F52" s="113" t="n">
        <x:f>PRODUCT(B52:E52)^(1/4)</x:f>
        <x:v>0.6894127301385363</x:v>
      </x:c>
      <x:c r="G52" s="113" t="n">
        <x:f>F52/SUM($F$49:$F$52)</x:f>
        <x:v>0.1649692852196299</x:v>
      </x:c>
      <x:c r="H52" s="114" t="n">
        <x:f>(B52*$G$49+C52*$G$50+D52*$G$51+E52*$G$52)/G52</x:f>
        <x:v>4.000975746738597</x:v>
      </x:c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>
      <x:c r="A54" s="38" t="str">
        <x:v>λmax</x:v>
      </x:c>
      <x:c r="B54" s="39" t="str">
        <x:v>CI</x:v>
      </x:c>
      <x:c r="C54" s="39" t="str">
        <x:v>RI</x:v>
      </x:c>
      <x:c r="D54" s="40" t="str">
        <x:v>CR</x:v>
      </x:c>
      <x:c r="E54" s="60"/>
      <x:c r="F54" s="60"/>
      <x:c r="G54" s="60"/>
      <x:c r="H54" s="60"/>
    </x:row>
    <x:row r="55">
      <x:c r="A55" s="129" t="n">
        <x:f>AVERAGE(H49:H52)</x:f>
        <x:v>4.000646613664479</x:v>
      </x:c>
      <x:c r="B55" s="113" t="n">
        <x:f>(A55-4)/3</x:f>
        <x:v>0.0002155378881596448</x:v>
      </x:c>
      <x:c r="C55" s="113" t="n">
        <x:v>0.9</x:v>
      </x:c>
      <x:c r="D55" s="114" t="n">
        <x:f>B55/C55</x:f>
        <x:v>0.00023948654239960534</x:v>
      </x:c>
      <x:c r="E55" s="60"/>
      <x:c r="F55" s="60"/>
      <x:c r="G55" s="60"/>
      <x:c r="H55" s="60"/>
    </x:row>
    <x:row r="56">
      <x:c r="A56" s="60"/>
      <x:c r="B56" s="60"/>
      <x:c r="C56" s="60"/>
      <x:c r="D56" s="60"/>
      <x:c r="E56" s="60"/>
      <x:c r="F56" s="60"/>
      <x:c r="G56" s="60"/>
      <x:c r="H56" s="60"/>
    </x:row>
    <x:row r="57">
      <x:c r="A57" s="60"/>
      <x:c r="B57" s="60"/>
      <x:c r="C57" s="60"/>
      <x:c r="D57" s="60"/>
      <x:c r="E57" s="60"/>
      <x:c r="F57" s="60"/>
      <x:c r="G57" s="60"/>
      <x:c r="H57" s="60"/>
    </x:row>
    <x:row r="58">
      <x:c r="A58" s="14" t="str">
        <x:v>C6. Наглядность и понятность проекта (выгода)</x:v>
      </x:c>
      <x:c r="B58" s="14"/>
      <x:c r="C58" s="14"/>
      <x:c r="D58" s="14"/>
      <x:c r="E58" s="14"/>
      <x:c r="F58" s="14"/>
      <x:c r="G58" s="14"/>
      <x:c r="H58" s="14"/>
    </x:row>
    <x:row r="59">
      <x:c r="A59" s="38"/>
      <x:c r="B59" s="39" t="str">
        <x:v>A1</x:v>
      </x:c>
      <x:c r="C59" s="39" t="str">
        <x:v>A2</x:v>
      </x:c>
      <x:c r="D59" s="39" t="str">
        <x:v>A3</x:v>
      </x:c>
      <x:c r="E59" s="39" t="str">
        <x:v>A4</x:v>
      </x:c>
      <x:c r="F59" s="39" t="str">
        <x:v>GM</x:v>
      </x:c>
      <x:c r="G59" s="39" t="str">
        <x:v>Лок. вес</x:v>
      </x:c>
      <x:c r="H59" s="40" t="str">
        <x:v>λi</x:v>
      </x:c>
    </x:row>
    <x:row r="60">
      <x:c r="A60" s="119" t="str">
        <x:v>A1</x:v>
      </x:c>
      <x:c r="B60" s="111" t="n">
        <x:f>POWER((IF('Оценки_альтернатив'!E24='Оценки_альтернатив'!E24,1,IF('Оценки_альтернатив'!E24&gt;'Оценки_альтернатив'!E24,MIN(9,1+('Оценки_альтернатив'!E24-'Оценки_альтернатив'!E24)),1/MIN(9,1+('Оценки_альтернатив'!E24-'Оценки_альтернатив'!E24)))))*(IF('Оценки_альтернатив'!F24='Оценки_альтернатив'!F24,1,IF('Оценки_альтернатив'!F24&gt;'Оценки_альтернатив'!F24,MIN(9,1+('Оценки_альтернатив'!F24-'Оценки_альтернатив'!F24)),1/MIN(9,1+('Оценки_альтернатив'!F24-'Оценки_альтернатив'!F24)))))*(IF('Оценки_альтернатив'!G24='Оценки_альтернатив'!G24,1,IF('Оценки_альтернатив'!G24&gt;'Оценки_альтернатив'!G24,MIN(9,1+('Оценки_альтернатив'!G24-'Оценки_альтернатив'!G24)),1/MIN(9,1+('Оценки_альтернатив'!G24-'Оценки_альтернатив'!G24)))))*(IF('Оценки_альтернатив'!H24='Оценки_альтернатив'!H24,1,IF('Оценки_альтернатив'!H24&gt;'Оценки_альтернатив'!H24,MIN(9,1+('Оценки_альтернатив'!H24-'Оценки_альтернатив'!H24)),1/MIN(9,1+('Оценки_альтернатив'!H24-'Оценки_альтернатив'!H24))))),1/4)</x:f>
        <x:v>1</x:v>
      </x:c>
      <x:c r="C60" s="111" t="n">
        <x:f>POWER((IF('Оценки_альтернатив'!E24='Оценки_альтернатив'!E25,1,IF('Оценки_альтернатив'!E24&gt;'Оценки_альтернатив'!E25,MIN(9,1+('Оценки_альтернатив'!E24-'Оценки_альтернатив'!E25)),1/MIN(9,1+('Оценки_альтернатив'!E25-'Оценки_альтернатив'!E24)))))*(IF('Оценки_альтернатив'!F24='Оценки_альтернатив'!F25,1,IF('Оценки_альтернатив'!F24&gt;'Оценки_альтернатив'!F25,MIN(9,1+('Оценки_альтернатив'!F24-'Оценки_альтернатив'!F25)),1/MIN(9,1+('Оценки_альтернатив'!F25-'Оценки_альтернатив'!F24)))))*(IF('Оценки_альтернатив'!G24='Оценки_альтернатив'!G25,1,IF('Оценки_альтернатив'!G24&gt;'Оценки_альтернатив'!G25,MIN(9,1+('Оценки_альтернатив'!G24-'Оценки_альтернатив'!G25)),1/MIN(9,1+('Оценки_альтернатив'!G25-'Оценки_альтернатив'!G24)))))*(IF('Оценки_альтернатив'!H24='Оценки_альтернатив'!H25,1,IF('Оценки_альтернатив'!H24&gt;'Оценки_альтернатив'!H25,MIN(9,1+('Оценки_альтернатив'!H24-'Оценки_альтернатив'!H25)),1/MIN(9,1+('Оценки_альтернатив'!H25-'Оценки_альтернатив'!H24))))),1/4)</x:f>
        <x:v>1.4142135623730951</x:v>
      </x:c>
      <x:c r="D60" s="111" t="n">
        <x:f>POWER((IF('Оценки_альтернатив'!E24='Оценки_альтернатив'!E26,1,IF('Оценки_альтернатив'!E24&gt;'Оценки_альтернатив'!E26,MIN(9,1+('Оценки_альтернатив'!E24-'Оценки_альтернатив'!E26)),1/MIN(9,1+('Оценки_альтернатив'!E26-'Оценки_альтернатив'!E24)))))*(IF('Оценки_альтернатив'!F24='Оценки_альтернатив'!F26,1,IF('Оценки_альтернатив'!F24&gt;'Оценки_альтернатив'!F26,MIN(9,1+('Оценки_альтернатив'!F24-'Оценки_альтернатив'!F26)),1/MIN(9,1+('Оценки_альтернатив'!F26-'Оценки_альтернатив'!F24)))))*(IF('Оценки_альтернатив'!G24='Оценки_альтернатив'!G26,1,IF('Оценки_альтернатив'!G24&gt;'Оценки_альтернатив'!G26,MIN(9,1+('Оценки_альтернатив'!G24-'Оценки_альтернатив'!G26)),1/MIN(9,1+('Оценки_альтернатив'!G26-'Оценки_альтернатив'!G24)))))*(IF('Оценки_альтернатив'!H24='Оценки_альтернатив'!H26,1,IF('Оценки_альтернатив'!H24&gt;'Оценки_альтернатив'!H26,MIN(9,1+('Оценки_альтернатив'!H24-'Оценки_альтернатив'!H26)),1/MIN(9,1+('Оценки_альтернатив'!H26-'Оценки_альтернатив'!H24))))),1/4)</x:f>
        <x:v>1.189207115002721</x:v>
      </x:c>
      <x:c r="E60" s="111" t="n">
        <x:f>POWER((IF('Оценки_альтернатив'!E24='Оценки_альтернатив'!E27,1,IF('Оценки_альтернатив'!E24&gt;'Оценки_альтернатив'!E27,MIN(9,1+('Оценки_альтернатив'!E24-'Оценки_альтернатив'!E27)),1/MIN(9,1+('Оценки_альтернатив'!E27-'Оценки_альтернатив'!E24)))))*(IF('Оценки_альтернатив'!F24='Оценки_альтернатив'!F27,1,IF('Оценки_альтернатив'!F24&gt;'Оценки_альтернатив'!F27,MIN(9,1+('Оценки_альтернатив'!F24-'Оценки_альтернатив'!F27)),1/MIN(9,1+('Оценки_альтернатив'!F27-'Оценки_альтернатив'!F24)))))*(IF('Оценки_альтернатив'!G24='Оценки_альтернатив'!G27,1,IF('Оценки_альтернатив'!G24&gt;'Оценки_альтернатив'!G27,MIN(9,1+('Оценки_альтернатив'!G24-'Оценки_альтернатив'!G27)),1/MIN(9,1+('Оценки_альтернатив'!G27-'Оценки_альтернатив'!G24)))))*(IF('Оценки_альтернатив'!H24='Оценки_альтернатив'!H27,1,IF('Оценки_альтернатив'!H24&gt;'Оценки_альтернатив'!H27,MIN(9,1+('Оценки_альтернатив'!H24-'Оценки_альтернатив'!H27)),1/MIN(9,1+('Оценки_альтернатив'!H27-'Оценки_альтернатив'!H24))))),1/4)</x:f>
        <x:v>1.4142135623730951</x:v>
      </x:c>
      <x:c r="F60" s="111" t="n">
        <x:f>PRODUCT(B60:E60)^(1/4)</x:f>
        <x:v>1.241857812073484</x:v>
      </x:c>
      <x:c r="G60" s="111" t="n">
        <x:f>F60/SUM($F$60:$F$63)</x:f>
        <x:v>0.3072092822894623</x:v>
      </x:c>
      <x:c r="H60" s="112" t="n">
        <x:f>(B60*$G$60+C60*$G$61+D60*$G$62+E60*$G$63)/G60</x:f>
        <x:v>4</x:v>
      </x:c>
    </x:row>
    <x:row r="61">
      <x:c r="A61" s="119" t="str">
        <x:v>A2</x:v>
      </x:c>
      <x:c r="B61" s="111" t="n">
        <x:f>POWER((IF('Оценки_альтернатив'!E25='Оценки_альтернатив'!E24,1,IF('Оценки_альтернатив'!E25&gt;'Оценки_альтернатив'!E24,MIN(9,1+('Оценки_альтернатив'!E25-'Оценки_альтернатив'!E24)),1/MIN(9,1+('Оценки_альтернатив'!E24-'Оценки_альтернатив'!E25)))))*(IF('Оценки_альтернатив'!F25='Оценки_альтернатив'!F24,1,IF('Оценки_альтернатив'!F25&gt;'Оценки_альтернатив'!F24,MIN(9,1+('Оценки_альтернатив'!F25-'Оценки_альтернатив'!F24)),1/MIN(9,1+('Оценки_альтернатив'!F24-'Оценки_альтернатив'!F25)))))*(IF('Оценки_альтернатив'!G25='Оценки_альтернатив'!G24,1,IF('Оценки_альтернатив'!G25&gt;'Оценки_альтернатив'!G24,MIN(9,1+('Оценки_альтернатив'!G25-'Оценки_альтернатив'!G24)),1/MIN(9,1+('Оценки_альтернатив'!G24-'Оценки_альтернатив'!G25)))))*(IF('Оценки_альтернатив'!H25='Оценки_альтернатив'!H24,1,IF('Оценки_альтернатив'!H25&gt;'Оценки_альтернатив'!H24,MIN(9,1+('Оценки_альтернатив'!H25-'Оценки_альтернатив'!H24)),1/MIN(9,1+('Оценки_альтернатив'!H24-'Оценки_альтернатив'!H25))))),1/4)</x:f>
        <x:v>0.7071067811865476</x:v>
      </x:c>
      <x:c r="C61" s="111" t="n">
        <x:f>POWER((IF('Оценки_альтернатив'!E25='Оценки_альтернатив'!E25,1,IF('Оценки_альтернатив'!E25&gt;'Оценки_альтернатив'!E25,MIN(9,1+('Оценки_альтернатив'!E25-'Оценки_альтернатив'!E25)),1/MIN(9,1+('Оценки_альтернатив'!E25-'Оценки_альтернатив'!E25)))))*(IF('Оценки_альтернатив'!F25='Оценки_альтернатив'!F25,1,IF('Оценки_альтернатив'!F25&gt;'Оценки_альтернатив'!F25,MIN(9,1+('Оценки_альтернатив'!F25-'Оценки_альтернатив'!F25)),1/MIN(9,1+('Оценки_альтернатив'!F25-'Оценки_альтернатив'!F25)))))*(IF('Оценки_альтернатив'!G25='Оценки_альтернатив'!G25,1,IF('Оценки_альтернатив'!G25&gt;'Оценки_альтернатив'!G25,MIN(9,1+('Оценки_альтернатив'!G25-'Оценки_альтернатив'!G25)),1/MIN(9,1+('Оценки_альтернатив'!G25-'Оценки_альтернатив'!G25)))))*(IF('Оценки_альтернатив'!H25='Оценки_альтернатив'!H25,1,IF('Оценки_альтернатив'!H25&gt;'Оценки_альтернатив'!H25,MIN(9,1+('Оценки_альтернатив'!H25-'Оценки_альтернатив'!H25)),1/MIN(9,1+('Оценки_альтернатив'!H25-'Оценки_альтернатив'!H25))))),1/4)</x:f>
        <x:v>1</x:v>
      </x:c>
      <x:c r="D61" s="111" t="n">
        <x:f>POWER((IF('Оценки_альтернатив'!E25='Оценки_альтернатив'!E26,1,IF('Оценки_альтернатив'!E25&gt;'Оценки_альтернатив'!E26,MIN(9,1+('Оценки_альтернатив'!E25-'Оценки_альтернатив'!E26)),1/MIN(9,1+('Оценки_альтернатив'!E26-'Оценки_альтернатив'!E25)))))*(IF('Оценки_альтернатив'!F25='Оценки_альтернатив'!F26,1,IF('Оценки_альтернатив'!F25&gt;'Оценки_альтернатив'!F26,MIN(9,1+('Оценки_альтернатив'!F25-'Оценки_альтернатив'!F26)),1/MIN(9,1+('Оценки_альтернатив'!F26-'Оценки_альтернатив'!F25)))))*(IF('Оценки_альтернатив'!G25='Оценки_альтернатив'!G26,1,IF('Оценки_альтернатив'!G25&gt;'Оценки_альтернатив'!G26,MIN(9,1+('Оценки_альтернатив'!G25-'Оценки_альтернатив'!G26)),1/MIN(9,1+('Оценки_альтернатив'!G26-'Оценки_альтернатив'!G25)))))*(IF('Оценки_альтернатив'!H25='Оценки_альтернатив'!H26,1,IF('Оценки_альтернатив'!H25&gt;'Оценки_альтернатив'!H26,MIN(9,1+('Оценки_альтернатив'!H25-'Оценки_альтернатив'!H26)),1/MIN(9,1+('Оценки_альтернатив'!H26-'Оценки_альтернатив'!H25))))),1/4)</x:f>
        <x:v>0.8408964152537145</x:v>
      </x:c>
      <x:c r="E61" s="111" t="n">
        <x:f>POWER((IF('Оценки_альтернатив'!E25='Оценки_альтернатив'!E27,1,IF('Оценки_альтернатив'!E25&gt;'Оценки_альтернатив'!E27,MIN(9,1+('Оценки_альтернатив'!E25-'Оценки_альтернатив'!E27)),1/MIN(9,1+('Оценки_альтернатив'!E27-'Оценки_альтернатив'!E25)))))*(IF('Оценки_альтернатив'!F25='Оценки_альтернатив'!F27,1,IF('Оценки_альтернатив'!F25&gt;'Оценки_альтернатив'!F27,MIN(9,1+('Оценки_альтернатив'!F25-'Оценки_альтернатив'!F27)),1/MIN(9,1+('Оценки_альтернатив'!F27-'Оценки_альтернатив'!F25)))))*(IF('Оценки_альтернатив'!G25='Оценки_альтернатив'!G27,1,IF('Оценки_альтернатив'!G25&gt;'Оценки_альтернатив'!G27,MIN(9,1+('Оценки_альтернатив'!G25-'Оценки_альтернатив'!G27)),1/MIN(9,1+('Оценки_альтернатив'!G27-'Оценки_альтернатив'!G25)))))*(IF('Оценки_альтернатив'!H25='Оценки_альтернатив'!H27,1,IF('Оценки_альтернатив'!H25&gt;'Оценки_альтернатив'!H27,MIN(9,1+('Оценки_альтернатив'!H25-'Оценки_альтернатив'!H27)),1/MIN(9,1+('Оценки_альтернатив'!H27-'Оценки_альтернатив'!H25))))),1/4)</x:f>
        <x:v>1</x:v>
      </x:c>
      <x:c r="F61" s="111" t="n">
        <x:f>PRODUCT(B61:E61)^(1/4)</x:f>
        <x:v>0.8781260801866497</x:v>
      </x:c>
      <x:c r="G61" s="111" t="n">
        <x:f>F61/SUM($F$60:$F$63)</x:f>
        <x:v>0.21722976675033112</x:v>
      </x:c>
      <x:c r="H61" s="112" t="n">
        <x:f>(B61*$G$60+C61*$G$61+D61*$G$62+E61*$G$63)/G61</x:f>
        <x:v>4</x:v>
      </x:c>
    </x:row>
    <x:row r="62">
      <x:c r="A62" s="119" t="str">
        <x:v>A3</x:v>
      </x:c>
      <x:c r="B62" s="111" t="n">
        <x:f>POWER((IF('Оценки_альтернатив'!E26='Оценки_альтернатив'!E24,1,IF('Оценки_альтернатив'!E26&gt;'Оценки_альтернатив'!E24,MIN(9,1+('Оценки_альтернатив'!E26-'Оценки_альтернатив'!E24)),1/MIN(9,1+('Оценки_альтернатив'!E24-'Оценки_альтернатив'!E26)))))*(IF('Оценки_альтернатив'!F26='Оценки_альтернатив'!F24,1,IF('Оценки_альтернатив'!F26&gt;'Оценки_альтернатив'!F24,MIN(9,1+('Оценки_альтернатив'!F26-'Оценки_альтернатив'!F24)),1/MIN(9,1+('Оценки_альтернатив'!F24-'Оценки_альтернатив'!F26)))))*(IF('Оценки_альтернатив'!G26='Оценки_альтернатив'!G24,1,IF('Оценки_альтернатив'!G26&gt;'Оценки_альтернатив'!G24,MIN(9,1+('Оценки_альтернатив'!G26-'Оценки_альтернатив'!G24)),1/MIN(9,1+('Оценки_альтернатив'!G24-'Оценки_альтернатив'!G26)))))*(IF('Оценки_альтернатив'!H26='Оценки_альтернатив'!H24,1,IF('Оценки_альтернатив'!H26&gt;'Оценки_альтернатив'!H24,MIN(9,1+('Оценки_альтернатив'!H26-'Оценки_альтернатив'!H24)),1/MIN(9,1+('Оценки_альтернатив'!H24-'Оценки_альтернатив'!H26))))),1/4)</x:f>
        <x:v>0.8408964152537145</x:v>
      </x:c>
      <x:c r="C62" s="111" t="n">
        <x:f>POWER((IF('Оценки_альтернатив'!E26='Оценки_альтернатив'!E25,1,IF('Оценки_альтернатив'!E26&gt;'Оценки_альтернатив'!E25,MIN(9,1+('Оценки_альтернатив'!E26-'Оценки_альтернатив'!E25)),1/MIN(9,1+('Оценки_альтернатив'!E25-'Оценки_альтернатив'!E26)))))*(IF('Оценки_альтернатив'!F26='Оценки_альтернатив'!F25,1,IF('Оценки_альтернатив'!F26&gt;'Оценки_альтернатив'!F25,MIN(9,1+('Оценки_альтернатив'!F26-'Оценки_альтернатив'!F25)),1/MIN(9,1+('Оценки_альтернатив'!F25-'Оценки_альтернатив'!F26)))))*(IF('Оценки_альтернатив'!G26='Оценки_альтернатив'!G25,1,IF('Оценки_альтернатив'!G26&gt;'Оценки_альтернатив'!G25,MIN(9,1+('Оценки_альтернатив'!G26-'Оценки_альтернатив'!G25)),1/MIN(9,1+('Оценки_альтернатив'!G25-'Оценки_альтернатив'!G26)))))*(IF('Оценки_альтернатив'!H26='Оценки_альтернатив'!H25,1,IF('Оценки_альтернатив'!H26&gt;'Оценки_альтернатив'!H25,MIN(9,1+('Оценки_альтернатив'!H26-'Оценки_альтернатив'!H25)),1/MIN(9,1+('Оценки_альтернатив'!H25-'Оценки_альтернатив'!H26))))),1/4)</x:f>
        <x:v>1.189207115002721</x:v>
      </x:c>
      <x:c r="D62" s="111" t="n">
        <x:f>POWER((IF('Оценки_альтернатив'!E26='Оценки_альтернатив'!E26,1,IF('Оценки_альтернатив'!E26&gt;'Оценки_альтернатив'!E26,MIN(9,1+('Оценки_альтернатив'!E26-'Оценки_альтернатив'!E26)),1/MIN(9,1+('Оценки_альтернатив'!E26-'Оценки_альтернатив'!E26)))))*(IF('Оценки_альтернатив'!F26='Оценки_альтернатив'!F26,1,IF('Оценки_альтернатив'!F26&gt;'Оценки_альтернатив'!F26,MIN(9,1+('Оценки_альтернатив'!F26-'Оценки_альтернатив'!F26)),1/MIN(9,1+('Оценки_альтернатив'!F26-'Оценки_альтернатив'!F26)))))*(IF('Оценки_альтернатив'!G26='Оценки_альтернатив'!G26,1,IF('Оценки_альтернатив'!G26&gt;'Оценки_альтернатив'!G26,MIN(9,1+('Оценки_альтернатив'!G26-'Оценки_альтернатив'!G26)),1/MIN(9,1+('Оценки_альтернатив'!G26-'Оценки_альтернатив'!G26)))))*(IF('Оценки_альтернатив'!H26='Оценки_альтернатив'!H26,1,IF('Оценки_альтернатив'!H26&gt;'Оценки_альтернатив'!H26,MIN(9,1+('Оценки_альтернатив'!H26-'Оценки_альтернатив'!H26)),1/MIN(9,1+('Оценки_альтернатив'!H26-'Оценки_альтернатив'!H26))))),1/4)</x:f>
        <x:v>1</x:v>
      </x:c>
      <x:c r="E62" s="111" t="n">
        <x:f>POWER((IF('Оценки_альтернатив'!E26='Оценки_альтернатив'!E27,1,IF('Оценки_альтернатив'!E26&gt;'Оценки_альтернатив'!E27,MIN(9,1+('Оценки_альтернатив'!E26-'Оценки_альтернатив'!E27)),1/MIN(9,1+('Оценки_альтернатив'!E27-'Оценки_альтернатив'!E26)))))*(IF('Оценки_альтернатив'!F26='Оценки_альтернатив'!F27,1,IF('Оценки_альтернатив'!F26&gt;'Оценки_альтернатив'!F27,MIN(9,1+('Оценки_альтернатив'!F26-'Оценки_альтернатив'!F27)),1/MIN(9,1+('Оценки_альтернатив'!F27-'Оценки_альтернатив'!F26)))))*(IF('Оценки_альтернатив'!G26='Оценки_альтернатив'!G27,1,IF('Оценки_альтернатив'!G26&gt;'Оценки_альтернатив'!G27,MIN(9,1+('Оценки_альтернатив'!G26-'Оценки_альтернатив'!G27)),1/MIN(9,1+('Оценки_альтернатив'!G27-'Оценки_альтернатив'!G26)))))*(IF('Оценки_альтернатив'!H26='Оценки_альтернатив'!H27,1,IF('Оценки_альтернатив'!H26&gt;'Оценки_альтернатив'!H27,MIN(9,1+('Оценки_альтернатив'!H26-'Оценки_альтернатив'!H27)),1/MIN(9,1+('Оценки_альтернатив'!H27-'Оценки_альтернатив'!H26))))),1/4)</x:f>
        <x:v>1.189207115002721</x:v>
      </x:c>
      <x:c r="F62" s="111" t="n">
        <x:f>PRODUCT(B62:E62)^(1/4)</x:f>
        <x:v>1.0442737824274138</x:v>
      </x:c>
      <x:c r="G62" s="111" t="n">
        <x:f>F62/SUM($F$60:$F$63)</x:f>
        <x:v>0.2583311842098753</x:v>
      </x:c>
      <x:c r="H62" s="112" t="n">
        <x:f>(B62*$G$60+C62*$G$61+D62*$G$62+E62*$G$63)/G62</x:f>
        <x:v>4</x:v>
      </x:c>
    </x:row>
    <x:row r="63">
      <x:c r="A63" s="120" t="str">
        <x:v>A4</x:v>
      </x:c>
      <x:c r="B63" s="113" t="n">
        <x:f>POWER((IF('Оценки_альтернатив'!E27='Оценки_альтернатив'!E24,1,IF('Оценки_альтернатив'!E27&gt;'Оценки_альтернатив'!E24,MIN(9,1+('Оценки_альтернатив'!E27-'Оценки_альтернатив'!E24)),1/MIN(9,1+('Оценки_альтернатив'!E24-'Оценки_альтернатив'!E27)))))*(IF('Оценки_альтернатив'!F27='Оценки_альтернатив'!F24,1,IF('Оценки_альтернатив'!F27&gt;'Оценки_альтернатив'!F24,MIN(9,1+('Оценки_альтернатив'!F27-'Оценки_альтернатив'!F24)),1/MIN(9,1+('Оценки_альтернатив'!F24-'Оценки_альтернатив'!F27)))))*(IF('Оценки_альтернатив'!G27='Оценки_альтернатив'!G24,1,IF('Оценки_альтернатив'!G27&gt;'Оценки_альтернатив'!G24,MIN(9,1+('Оценки_альтернатив'!G27-'Оценки_альтернатив'!G24)),1/MIN(9,1+('Оценки_альтернатив'!G24-'Оценки_альтернатив'!G27)))))*(IF('Оценки_альтернатив'!H27='Оценки_альтернатив'!H24,1,IF('Оценки_альтернатив'!H27&gt;'Оценки_альтернатив'!H24,MIN(9,1+('Оценки_альтернатив'!H27-'Оценки_альтернатив'!H24)),1/MIN(9,1+('Оценки_альтернатив'!H24-'Оценки_альтернатив'!H27))))),1/4)</x:f>
        <x:v>0.7071067811865476</x:v>
      </x:c>
      <x:c r="C63" s="113" t="n">
        <x:f>POWER((IF('Оценки_альтернатив'!E27='Оценки_альтернатив'!E25,1,IF('Оценки_альтернатив'!E27&gt;'Оценки_альтернатив'!E25,MIN(9,1+('Оценки_альтернатив'!E27-'Оценки_альтернатив'!E25)),1/MIN(9,1+('Оценки_альтернатив'!E25-'Оценки_альтернатив'!E27)))))*(IF('Оценки_альтернатив'!F27='Оценки_альтернатив'!F25,1,IF('Оценки_альтернатив'!F27&gt;'Оценки_альтернатив'!F25,MIN(9,1+('Оценки_альтернатив'!F27-'Оценки_альтернатив'!F25)),1/MIN(9,1+('Оценки_альтернатив'!F25-'Оценки_альтернатив'!F27)))))*(IF('Оценки_альтернатив'!G27='Оценки_альтернатив'!G25,1,IF('Оценки_альтернатив'!G27&gt;'Оценки_альтернатив'!G25,MIN(9,1+('Оценки_альтернатив'!G27-'Оценки_альтернатив'!G25)),1/MIN(9,1+('Оценки_альтернатив'!G25-'Оценки_альтернатив'!G27)))))*(IF('Оценки_альтернатив'!H27='Оценки_альтернатив'!H25,1,IF('Оценки_альтернатив'!H27&gt;'Оценки_альтернатив'!H25,MIN(9,1+('Оценки_альтернатив'!H27-'Оценки_альтернатив'!H25)),1/MIN(9,1+('Оценки_альтернатив'!H25-'Оценки_альтернатив'!H27))))),1/4)</x:f>
        <x:v>1</x:v>
      </x:c>
      <x:c r="D63" s="113" t="n">
        <x:f>POWER((IF('Оценки_альтернатив'!E27='Оценки_альтернатив'!E26,1,IF('Оценки_альтернатив'!E27&gt;'Оценки_альтернатив'!E26,MIN(9,1+('Оценки_альтернатив'!E27-'Оценки_альтернатив'!E26)),1/MIN(9,1+('Оценки_альтернатив'!E26-'Оценки_альтернатив'!E27)))))*(IF('Оценки_альтернатив'!F27='Оценки_альтернатив'!F26,1,IF('Оценки_альтернатив'!F27&gt;'Оценки_альтернатив'!F26,MIN(9,1+('Оценки_альтернатив'!F27-'Оценки_альтернатив'!F26)),1/MIN(9,1+('Оценки_альтернатив'!F26-'Оценки_альтернатив'!F27)))))*(IF('Оценки_альтернатив'!G27='Оценки_альтернатив'!G26,1,IF('Оценки_альтернатив'!G27&gt;'Оценки_альтернатив'!G26,MIN(9,1+('Оценки_альтернатив'!G27-'Оценки_альтернатив'!G26)),1/MIN(9,1+('Оценки_альтернатив'!G26-'Оценки_альтернатив'!G27)))))*(IF('Оценки_альтернатив'!H27='Оценки_альтернатив'!H26,1,IF('Оценки_альтернатив'!H27&gt;'Оценки_альтернатив'!H26,MIN(9,1+('Оценки_альтернатив'!H27-'Оценки_альтернатив'!H26)),1/MIN(9,1+('Оценки_альтернатив'!H26-'Оценки_альтернатив'!H27))))),1/4)</x:f>
        <x:v>0.8408964152537145</x:v>
      </x:c>
      <x:c r="E63" s="113" t="n">
        <x:f>POWER((IF('Оценки_альтернатив'!E27='Оценки_альтернатив'!E27,1,IF('Оценки_альтернатив'!E27&gt;'Оценки_альтернатив'!E27,MIN(9,1+('Оценки_альтернатив'!E27-'Оценки_альтернатив'!E27)),1/MIN(9,1+('Оценки_альтернатив'!E27-'Оценки_альтернатив'!E27)))))*(IF('Оценки_альтернатив'!F27='Оценки_альтернатив'!F27,1,IF('Оценки_альтернатив'!F27&gt;'Оценки_альтернатив'!F27,MIN(9,1+('Оценки_альтернатив'!F27-'Оценки_альтернатив'!F27)),1/MIN(9,1+('Оценки_альтернатив'!F27-'Оценки_альтернатив'!F27)))))*(IF('Оценки_альтернатив'!G27='Оценки_альтернатив'!G27,1,IF('Оценки_альтернатив'!G27&gt;'Оценки_альтернатив'!G27,MIN(9,1+('Оценки_альтернатив'!G27-'Оценки_альтернатив'!G27)),1/MIN(9,1+('Оценки_альтернатив'!G27-'Оценки_альтернатив'!G27)))))*(IF('Оценки_альтернатив'!H27='Оценки_альтернатив'!H27,1,IF('Оценки_альтернатив'!H27&gt;'Оценки_альтернатив'!H27,MIN(9,1+('Оценки_альтернатив'!H27-'Оценки_альтернатив'!H27)),1/MIN(9,1+('Оценки_альтернатив'!H27-'Оценки_альтернатив'!H27))))),1/4)</x:f>
        <x:v>1</x:v>
      </x:c>
      <x:c r="F63" s="113" t="n">
        <x:f>PRODUCT(B63:E63)^(1/4)</x:f>
        <x:v>0.8781260801866497</x:v>
      </x:c>
      <x:c r="G63" s="113" t="n">
        <x:f>F63/SUM($F$60:$F$63)</x:f>
        <x:v>0.21722976675033112</x:v>
      </x:c>
      <x:c r="H63" s="114" t="n">
        <x:f>(B63*$G$60+C63*$G$61+D63*$G$62+E63*$G$63)/G63</x:f>
        <x:v>4</x:v>
      </x:c>
    </x:row>
    <x:row r="64">
      <x:c r="A64" s="60"/>
      <x:c r="B64" s="60"/>
      <x:c r="C64" s="60"/>
      <x:c r="D64" s="60"/>
      <x:c r="E64" s="60"/>
      <x:c r="F64" s="60"/>
      <x:c r="G64" s="60"/>
      <x:c r="H64" s="60"/>
    </x:row>
    <x:row r="65">
      <x:c r="A65" s="38" t="str">
        <x:v>λmax</x:v>
      </x:c>
      <x:c r="B65" s="39" t="str">
        <x:v>CI</x:v>
      </x:c>
      <x:c r="C65" s="39" t="str">
        <x:v>RI</x:v>
      </x:c>
      <x:c r="D65" s="40" t="str">
        <x:v>CR</x:v>
      </x:c>
      <x:c r="E65" s="60"/>
      <x:c r="F65" s="60"/>
      <x:c r="G65" s="60"/>
      <x:c r="H65" s="60"/>
    </x:row>
    <x:row r="66">
      <x:c r="A66" s="129" t="n">
        <x:f>AVERAGE(H60:H63)</x:f>
        <x:v>4</x:v>
      </x:c>
      <x:c r="B66" s="113" t="n">
        <x:f>(A66-4)/3</x:f>
        <x:v>0</x:v>
      </x:c>
      <x:c r="C66" s="113" t="n">
        <x:v>0.9</x:v>
      </x:c>
      <x:c r="D66" s="114" t="n">
        <x:f>B66/C66</x:f>
        <x:v>0</x:v>
      </x:c>
      <x:c r="E66" s="60"/>
      <x:c r="F66" s="60"/>
      <x:c r="G66" s="60"/>
      <x:c r="H66" s="60"/>
    </x:row>
    <x:row r="67">
      <x:c r="A67" s="60"/>
      <x:c r="B67" s="60"/>
      <x:c r="C67" s="60"/>
      <x:c r="D67" s="60"/>
      <x:c r="E67" s="60"/>
      <x:c r="F67" s="60"/>
      <x:c r="G67" s="60"/>
      <x:c r="H67" s="60"/>
    </x:row>
    <x:row r="68">
      <x:c r="A68" s="60"/>
      <x:c r="B68" s="60"/>
      <x:c r="C68" s="60"/>
      <x:c r="D68" s="60"/>
      <x:c r="E68" s="60"/>
      <x:c r="F68" s="60"/>
      <x:c r="G68" s="60"/>
      <x:c r="H68" s="60"/>
    </x:row>
    <x:row r="69">
      <x:c r="A69" s="60"/>
      <x:c r="B69" s="60"/>
      <x:c r="C69" s="60"/>
      <x:c r="D69" s="60"/>
      <x:c r="E69" s="60"/>
      <x:c r="F69" s="60"/>
      <x:c r="G69" s="60"/>
      <x:c r="H69" s="60"/>
    </x:row>
  </x:sheetData>
  <x:mergeCells>
    <x:mergeCell ref="A1:H1"/>
    <x:mergeCell ref="A3:H3"/>
    <x:mergeCell ref="A14:H14"/>
    <x:mergeCell ref="A25:H25"/>
    <x:mergeCell ref="A36:H36"/>
    <x:mergeCell ref="A47:H47"/>
    <x:mergeCell ref="A58:H5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0" max="10" width="14" hidden="0" customWidth="1"/>
    <x:col min="11" max="11" width="14" hidden="0" customWidth="1"/>
  </x:cols>
  <x:sheetData>
    <x:row r="1">
      <x:c r="A1" s="89" t="str">
        <x:v>Коллективный МАИ — итоговый синтез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3">
      <x:c r="A3" s="38" t="str">
        <x:v>Альт.</x:v>
      </x:c>
      <x:c r="B3" s="39" t="str">
        <x:v>Концепция</x:v>
      </x:c>
      <x:c r="C3" s="39" t="str">
        <x:v>C1</x:v>
      </x:c>
      <x:c r="D3" s="39" t="str">
        <x:v>C2</x:v>
      </x:c>
      <x:c r="E3" s="39" t="str">
        <x:v>C3</x:v>
      </x:c>
      <x:c r="F3" s="39" t="str">
        <x:v>C4</x:v>
      </x:c>
      <x:c r="G3" s="39" t="str">
        <x:v>C5</x:v>
      </x:c>
      <x:c r="H3" s="40" t="str">
        <x:v>C6</x:v>
      </x:c>
      <x:c r="I3" s="60"/>
      <x:c r="J3" s="38" t="str">
        <x:v>Критерий</x:v>
      </x:c>
      <x:c r="K3" s="40" t="str">
        <x:v>Вес</x:v>
      </x:c>
    </x:row>
    <x:row r="4">
      <x:c r="A4" s="64" t="str">
        <x:v>A1</x:v>
      </x:c>
      <x:c r="B4" s="60" t="str">
        <x:v>Система аренды автомобилей</x:v>
      </x:c>
      <x:c r="C4" s="60" t="n">
        <x:f>'МАИ_альтернативы'!G5</x:f>
        <x:v>0.3287213447925807</x:v>
      </x:c>
      <x:c r="D4" s="60" t="n">
        <x:f>'МАИ_альтернативы'!G16</x:f>
        <x:v>0.2977976121072669</x:v>
      </x:c>
      <x:c r="E4" s="60" t="n">
        <x:f>'МАИ_альтернативы'!G27</x:f>
        <x:v>0.2928932188134525</x:v>
      </x:c>
      <x:c r="F4" s="60" t="n">
        <x:f>'МАИ_альтернативы'!G38</x:f>
        <x:v>0.18173614543955435</x:v>
      </x:c>
      <x:c r="G4" s="60" t="n">
        <x:f>'МАИ_альтернативы'!G49</x:f>
        <x:v>0.3182846881024082</x:v>
      </x:c>
      <x:c r="H4" s="62" t="n">
        <x:f>'МАИ_альтернативы'!G60</x:f>
        <x:v>0.3072092822894623</x:v>
      </x:c>
      <x:c r="I4" s="60"/>
      <x:c r="J4" s="64" t="str">
        <x:v>C1</x:v>
      </x:c>
      <x:c r="K4" s="62" t="n">
        <x:f>'МАИ_критерии'!I4</x:f>
        <x:v>0.2103326577503157</x:v>
      </x:c>
    </x:row>
    <x:row r="5">
      <x:c r="A5" s="64" t="str">
        <x:v>A2</x:v>
      </x:c>
      <x:c r="B5" s="60" t="str">
        <x:v>Информационная система автосервиса</x:v>
      </x:c>
      <x:c r="C5" s="60" t="n">
        <x:f>'МАИ_альтернативы'!G6</x:f>
        <x:v>0.2714949369853548</x:v>
      </x:c>
      <x:c r="D5" s="60" t="n">
        <x:f>'МАИ_альтернативы'!G17</x:f>
        <x:v>0.34163422181602754</x:v>
      </x:c>
      <x:c r="E5" s="60" t="n">
        <x:f>'МАИ_альтернативы'!G28</x:f>
        <x:v>0.2928932188134525</x:v>
      </x:c>
      <x:c r="F5" s="60" t="n">
        <x:f>'МАИ_альтернативы'!G39</x:f>
        <x:v>0.13562892760088502</x:v>
      </x:c>
      <x:c r="G5" s="60" t="n">
        <x:f>'МАИ_альтернативы'!G50</x:f>
        <x:v>0.3240592461035702</x:v>
      </x:c>
      <x:c r="H5" s="62" t="n">
        <x:f>'МАИ_альтернативы'!G61</x:f>
        <x:v>0.21722976675033112</x:v>
      </x:c>
      <x:c r="I5" s="60"/>
      <x:c r="J5" s="64" t="str">
        <x:v>C2</x:v>
      </x:c>
      <x:c r="K5" s="62" t="n">
        <x:f>'МАИ_критерии'!I5</x:f>
        <x:v>0.13439060126735553</x:v>
      </x:c>
    </x:row>
    <x:row r="6">
      <x:c r="A6" s="64" t="str">
        <x:v>A3</x:v>
      </x:c>
      <x:c r="B6" s="60" t="str">
        <x:v>Система учёта и анализа личных финансов</x:v>
      </x:c>
      <x:c r="C6" s="60" t="n">
        <x:f>'МАИ_альтернативы'!G7</x:f>
        <x:v>0.23244109202359503</x:v>
      </x:c>
      <x:c r="D6" s="60" t="n">
        <x:f>'МАИ_альтернативы'!G18</x:f>
        <x:v>0.18028408303835272</x:v>
      </x:c>
      <x:c r="E6" s="60" t="n">
        <x:f>'МАИ_альтернативы'!G29</x:f>
        <x:v>0.20710678118654754</x:v>
      </x:c>
      <x:c r="F6" s="60" t="n">
        <x:f>'МАИ_альтернативы'!G40</x:f>
        <x:v>0.34438584691849033</x:v>
      </x:c>
      <x:c r="G6" s="60" t="n">
        <x:f>'МАИ_альтернативы'!G51</x:f>
        <x:v>0.19268678057439173</x:v>
      </x:c>
      <x:c r="H6" s="62" t="n">
        <x:f>'МАИ_альтернативы'!G62</x:f>
        <x:v>0.2583311842098753</x:v>
      </x:c>
      <x:c r="I6" s="60"/>
      <x:c r="J6" s="64" t="str">
        <x:v>C3</x:v>
      </x:c>
      <x:c r="K6" s="62" t="n">
        <x:f>'МАИ_критерии'!I6</x:f>
        <x:v>0.21286903446187747</x:v>
      </x:c>
    </x:row>
    <x:row r="7">
      <x:c r="A7" s="65" t="str">
        <x:v>A4</x:v>
      </x:c>
      <x:c r="B7" s="66" t="str">
        <x:v>Система управления фитнес-клубом</x:v>
      </x:c>
      <x:c r="C7" s="66" t="n">
        <x:f>'МАИ_альтернативы'!G8</x:f>
        <x:v>0.16734262619846943</x:v>
      </x:c>
      <x:c r="D7" s="66" t="n">
        <x:f>'МАИ_альтернативы'!G19</x:f>
        <x:v>0.18028408303835272</x:v>
      </x:c>
      <x:c r="E7" s="66" t="n">
        <x:f>'МАИ_альтернативы'!G30</x:f>
        <x:v>0.20710678118654754</x:v>
      </x:c>
      <x:c r="F7" s="66" t="n">
        <x:f>'МАИ_альтернативы'!G41</x:f>
        <x:v>0.33824908004107035</x:v>
      </x:c>
      <x:c r="G7" s="66" t="n">
        <x:f>'МАИ_альтернативы'!G52</x:f>
        <x:v>0.1649692852196299</x:v>
      </x:c>
      <x:c r="H7" s="63" t="n">
        <x:f>'МАИ_альтернативы'!G63</x:f>
        <x:v>0.21722976675033112</x:v>
      </x:c>
      <x:c r="I7" s="60"/>
      <x:c r="J7" s="64" t="str">
        <x:v>C4</x:v>
      </x:c>
      <x:c r="K7" s="62" t="n">
        <x:f>'МАИ_критерии'!I7</x:f>
        <x:v>0.09969583655758996</x:v>
      </x:c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4" t="str">
        <x:v>C5</x:v>
      </x:c>
      <x:c r="K8" s="62" t="n">
        <x:f>'МАИ_критерии'!I8</x:f>
        <x:v>0.24420392904600474</x:v>
      </x:c>
    </x:row>
    <x:row r="9">
      <x:c r="A9" s="60"/>
      <x:c r="B9" s="60"/>
      <x:c r="C9" s="60"/>
      <x:c r="D9" s="60"/>
      <x:c r="E9" s="60"/>
      <x:c r="F9" s="60"/>
      <x:c r="G9" s="60"/>
      <x:c r="H9" s="60"/>
      <x:c r="I9" s="60"/>
      <x:c r="J9" s="65" t="str">
        <x:v>C6</x:v>
      </x:c>
      <x:c r="K9" s="63" t="n">
        <x:f>'МАИ_критерии'!I9</x:f>
        <x:v>0.09850794091685679</x:v>
      </x:c>
    </x:row>
    <x:row r="10">
      <x:c r="A10" s="38" t="str">
        <x:v>Альт.</x:v>
      </x:c>
      <x:c r="B10" s="39" t="str">
        <x:v>Концепция</x:v>
      </x:c>
      <x:c r="C10" s="39" t="str">
        <x:v>Глобальный приоритет</x:v>
      </x:c>
      <x:c r="D10" s="40" t="str">
        <x:v>Ранг</x:v>
      </x:c>
      <x:c r="E10" s="60"/>
      <x:c r="F10" s="38" t="str">
        <x:v>Проверка согласованности</x:v>
      </x:c>
      <x:c r="G10" s="40" t="str">
        <x:v>CR</x:v>
      </x:c>
      <x:c r="H10" s="60"/>
      <x:c r="I10" s="60"/>
      <x:c r="J10" s="60"/>
      <x:c r="K10" s="60"/>
    </x:row>
    <x:row r="11">
      <x:c r="A11" s="64" t="str">
        <x:v>A1</x:v>
      </x:c>
      <x:c r="B11" s="60" t="str">
        <x:v>Система аренды автомобилей</x:v>
      </x:c>
      <x:c r="C11" s="111" t="n">
        <x:f>C4*$K$4+D4*$K$5+E4*$K$6+F4*$K$7+G4*$K$8+H4*$K$9</x:f>
        <x:v>0.2976171932168295</x:v>
      </x:c>
      <x:c r="D11" s="62" t="n">
        <x:f>RANK(C11,$C$11:$C$14,0)</x:f>
        <x:v>1</x:v>
      </x:c>
      <x:c r="E11" s="60"/>
      <x:c r="F11" s="64" t="str">
        <x:v>Критерии</x:v>
      </x:c>
      <x:c r="G11" s="112" t="n">
        <x:f>'МАИ_критерии'!B16</x:f>
        <x:v>0.0005563192242626663</x:v>
      </x:c>
      <x:c r="H11" s="60"/>
      <x:c r="I11" s="60"/>
      <x:c r="J11" s="60"/>
      <x:c r="K11" s="60"/>
    </x:row>
    <x:row r="12">
      <x:c r="A12" s="64" t="str">
        <x:v>A2</x:v>
      </x:c>
      <x:c r="B12" s="60" t="str">
        <x:v>Информационная система автосервиса</x:v>
      </x:c>
      <x:c r="C12" s="111" t="n">
        <x:f>C5*$K$4+D5*$K$5+E5*$K$6+F5*$K$7+G5*$K$8+H5*$K$9</x:f>
        <x:v>0.2794216144036775</x:v>
      </x:c>
      <x:c r="D12" s="62" t="n">
        <x:f>RANK(C12,$C$11:$C$14,0)</x:f>
        <x:v>2</x:v>
      </x:c>
      <x:c r="E12" s="60"/>
      <x:c r="F12" s="64" t="str">
        <x:v>C1</x:v>
      </x:c>
      <x:c r="G12" s="112" t="n">
        <x:f>'МАИ_альтернативы'!D11</x:f>
        <x:v>0.00023948654239960534</x:v>
      </x:c>
      <x:c r="H12" s="60"/>
      <x:c r="I12" s="60"/>
      <x:c r="J12" s="60"/>
      <x:c r="K12" s="60"/>
    </x:row>
    <x:row r="13">
      <x:c r="A13" s="64" t="str">
        <x:v>A3</x:v>
      </x:c>
      <x:c r="B13" s="60" t="str">
        <x:v>Система учёта и анализа личных финансов</x:v>
      </x:c>
      <x:c r="C13" s="111" t="n">
        <x:f>C6*$K$4+D6*$K$5+E6*$K$6+F6*$K$7+G6*$K$8+H6*$K$9</x:f>
        <x:v>0.22404143654560715</x:v>
      </x:c>
      <x:c r="D13" s="62" t="n">
        <x:f>RANK(C13,$C$11:$C$14,0)</x:f>
        <x:v>3</x:v>
      </x:c>
      <x:c r="E13" s="60"/>
      <x:c r="F13" s="64" t="str">
        <x:v>C2</x:v>
      </x:c>
      <x:c r="G13" s="112" t="n">
        <x:f>'МАИ_альтернативы'!D22</x:f>
        <x:v>0.00023948654239927636</x:v>
      </x:c>
      <x:c r="H13" s="60"/>
      <x:c r="I13" s="60"/>
      <x:c r="J13" s="60"/>
      <x:c r="K13" s="60"/>
    </x:row>
    <x:row r="14">
      <x:c r="A14" s="65" t="str">
        <x:v>A4</x:v>
      </x:c>
      <x:c r="B14" s="66" t="str">
        <x:v>Система управления фитнес-клубом</x:v>
      </x:c>
      <x:c r="C14" s="113" t="n">
        <x:f>C7*$K$4+D7*$K$5+E7*$K$6+F7*$K$7+G7*$K$8+H7*$K$9</x:f>
        <x:v>0.198919755833886</x:v>
      </x:c>
      <x:c r="D14" s="63" t="n">
        <x:f>RANK(C14,$C$11:$C$14,0)</x:f>
        <x:v>4</x:v>
      </x:c>
      <x:c r="E14" s="60"/>
      <x:c r="F14" s="64" t="str">
        <x:v>C3</x:v>
      </x:c>
      <x:c r="G14" s="112" t="n">
        <x:f>'МАИ_альтернативы'!D33</x:f>
        <x:v>0</x:v>
      </x:c>
      <x:c r="H14" s="60"/>
      <x:c r="I14" s="60"/>
      <x:c r="J14" s="60"/>
      <x:c r="K14" s="60"/>
    </x:row>
    <x:row r="15">
      <x:c r="A15" s="60"/>
      <x:c r="B15" s="60"/>
      <x:c r="C15" s="60"/>
      <x:c r="D15" s="60"/>
      <x:c r="E15" s="60"/>
      <x:c r="F15" s="64" t="str">
        <x:v>C4</x:v>
      </x:c>
      <x:c r="G15" s="112" t="n">
        <x:f>'МАИ_альтернативы'!D44</x:f>
        <x:v>0.0007185564101781423</x:v>
      </x:c>
      <x:c r="H15" s="60"/>
      <x:c r="I15" s="60"/>
      <x:c r="J15" s="60"/>
      <x:c r="K15" s="60"/>
    </x:row>
    <x:row r="16">
      <x:c r="A16" s="60"/>
      <x:c r="B16" s="60"/>
      <x:c r="C16" s="60"/>
      <x:c r="D16" s="60"/>
      <x:c r="E16" s="60"/>
      <x:c r="F16" s="64" t="str">
        <x:v>C5</x:v>
      </x:c>
      <x:c r="G16" s="112" t="n">
        <x:f>'МАИ_альтернативы'!D55</x:f>
        <x:v>0.00023948654239960534</x:v>
      </x:c>
      <x:c r="H16" s="60"/>
      <x:c r="I16" s="60"/>
      <x:c r="J16" s="60"/>
      <x:c r="K16" s="60"/>
    </x:row>
    <x:row r="17">
      <x:c r="A17" s="60"/>
      <x:c r="B17" s="60"/>
      <x:c r="C17" s="60"/>
      <x:c r="D17" s="60"/>
      <x:c r="E17" s="60"/>
      <x:c r="F17" s="65" t="str">
        <x:v>C6</x:v>
      </x:c>
      <x:c r="G17" s="114" t="n">
        <x:f>'МАИ_альтернативы'!D66</x:f>
        <x:v>0</x:v>
      </x:c>
      <x:c r="H17" s="60"/>
      <x:c r="I17" s="60"/>
      <x:c r="J17" s="60"/>
      <x:c r="K17" s="60"/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14" hidden="0" customWidth="1"/>
    <x:col min="4" max="4" width="14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6" hidden="0" customWidth="1"/>
  </x:cols>
  <x:sheetData>
    <x:row r="1">
      <x:c r="A1" s="89" t="str">
        <x:v>Декомпозиция работ Фазы 1, сроки, трудозатраты и RACI</x:v>
      </x:c>
      <x:c r="B1" s="89"/>
      <x:c r="C1" s="89"/>
      <x:c r="D1" s="89"/>
      <x:c r="E1" s="89"/>
      <x:c r="F1" s="89"/>
      <x:c r="G1" s="89"/>
      <x:c r="H1" s="89"/>
      <x:c r="I1" s="89"/>
      <x:c r="J1" s="89"/>
    </x:row>
    <x:row r="2">
      <x:c r="A2" s="171" t="str">
        <x:v>Обозначения RACI: A — отвечает за итог; R — выполняет; C — консультирует; I — информируется. A/R — одновременно отвечает и выполняет.</x:v>
      </x:c>
      <x:c r="B2" s="171"/>
      <x:c r="C2" s="171"/>
      <x:c r="D2" s="171"/>
      <x:c r="E2" s="171"/>
      <x:c r="F2" s="171"/>
      <x:c r="G2" s="171"/>
      <x:c r="H2" s="171"/>
      <x:c r="I2" s="171"/>
      <x:c r="J2" s="171"/>
    </x:row>
    <x:row r="3">
      <x:c r="A3" s="38" t="str">
        <x:v>№</x:v>
      </x:c>
      <x:c r="B3" s="39" t="str">
        <x:v>Задача</x:v>
      </x:c>
      <x:c r="C3" s="39" t="str">
        <x:v>Начало</x:v>
      </x:c>
      <x:c r="D3" s="39" t="str">
        <x:v>Окончание</x:v>
      </x:c>
      <x:c r="E3" s="39" t="str">
        <x:v>Трудозатраты, чел.-ч</x:v>
      </x:c>
      <x:c r="F3" s="39" t="str">
        <x:v>Владислав</x:v>
      </x:c>
      <x:c r="G3" s="39" t="str">
        <x:v>Виталий</x:v>
      </x:c>
      <x:c r="H3" s="39" t="str">
        <x:v>Елена</x:v>
      </x:c>
      <x:c r="I3" s="39" t="str">
        <x:v>Антон</x:v>
      </x:c>
      <x:c r="J3" s="40" t="str">
        <x:v>Результат / артефакт</x:v>
      </x:c>
    </x:row>
    <x:row r="4">
      <x:c r="A4" s="64" t="n">
        <x:v>1</x:v>
      </x:c>
      <x:c r="B4" s="60" t="str">
        <x:v>Установочная встреча и разбор требований</x:v>
      </x:c>
      <x:c r="C4" s="173" t="str">
        <x:v>01.10.2026</x:v>
      </x:c>
      <x:c r="D4" s="173" t="str">
        <x:v>01.10.2026</x:v>
      </x:c>
      <x:c r="E4" s="146" t="n">
        <x:v>2</x:v>
      </x:c>
      <x:c r="F4" s="60" t="str">
        <x:v>A/R</x:v>
      </x:c>
      <x:c r="G4" s="60" t="str">
        <x:v>R</x:v>
      </x:c>
      <x:c r="H4" s="60" t="str">
        <x:v>R</x:v>
      </x:c>
      <x:c r="I4" s="60" t="str">
        <x:v>R</x:v>
      </x:c>
      <x:c r="J4" s="62" t="str">
        <x:v>Зафиксированы требования Фазы 1 и формат командной работы</x:v>
      </x:c>
    </x:row>
    <x:row r="5">
      <x:c r="A5" s="64" t="n">
        <x:v>2</x:v>
      </x:c>
      <x:c r="B5" s="60" t="str">
        <x:v>Формирование 4 концепций проекта</x:v>
      </x:c>
      <x:c r="C5" s="173" t="str">
        <x:v>01.10.2026</x:v>
      </x:c>
      <x:c r="D5" s="173" t="str">
        <x:v>01.10.2026</x:v>
      </x:c>
      <x:c r="E5" s="146" t="n">
        <x:v>1.5</x:v>
      </x:c>
      <x:c r="F5" s="60" t="str">
        <x:v>A/R</x:v>
      </x:c>
      <x:c r="G5" s="60" t="str">
        <x:v>C</x:v>
      </x:c>
      <x:c r="H5" s="60" t="str">
        <x:v>C</x:v>
      </x:c>
      <x:c r="I5" s="60" t="str">
        <x:v>C</x:v>
      </x:c>
      <x:c r="J5" s="62" t="str">
        <x:v>Сформированы 4 альтернативные концепции</x:v>
      </x:c>
    </x:row>
    <x:row r="6">
      <x:c r="A6" s="64" t="n">
        <x:v>3</x:v>
      </x:c>
      <x:c r="B6" s="60" t="str">
        <x:v>Формирование и описание критериев</x:v>
      </x:c>
      <x:c r="C6" s="173" t="str">
        <x:v>02.10.2026</x:v>
      </x:c>
      <x:c r="D6" s="173" t="str">
        <x:v>02.10.2026</x:v>
      </x:c>
      <x:c r="E6" s="146" t="n">
        <x:v>1.5</x:v>
      </x:c>
      <x:c r="F6" s="60" t="str">
        <x:v>A</x:v>
      </x:c>
      <x:c r="G6" s="60" t="str">
        <x:v>C</x:v>
      </x:c>
      <x:c r="H6" s="60" t="str">
        <x:v>C</x:v>
      </x:c>
      <x:c r="I6" s="60" t="str">
        <x:v>R</x:v>
      </x:c>
      <x:c r="J6" s="62" t="str">
        <x:v>Утверждены 6 критериев MAX/MIN</x:v>
      </x:c>
    </x:row>
    <x:row r="7">
      <x:c r="A7" s="64" t="n">
        <x:v>4</x:v>
      </x:c>
      <x:c r="B7" s="60" t="str">
        <x:v>Индивидуальное экспертное оценивание</x:v>
      </x:c>
      <x:c r="C7" s="173" t="str">
        <x:v>02.10.2026</x:v>
      </x:c>
      <x:c r="D7" s="173" t="str">
        <x:v>02.10.2026</x:v>
      </x:c>
      <x:c r="E7" s="146" t="n">
        <x:v>2</x:v>
      </x:c>
      <x:c r="F7" s="60" t="str">
        <x:v>A/R</x:v>
      </x:c>
      <x:c r="G7" s="60" t="str">
        <x:v>R</x:v>
      </x:c>
      <x:c r="H7" s="60" t="str">
        <x:v>R</x:v>
      </x:c>
      <x:c r="I7" s="60" t="str">
        <x:v>R</x:v>
      </x:c>
      <x:c r="J7" s="62" t="str">
        <x:v>Получены индивидуальные оценки 4 экспертов</x:v>
      </x:c>
    </x:row>
    <x:row r="8">
      <x:c r="A8" s="64" t="n">
        <x:v>5</x:v>
      </x:c>
      <x:c r="B8" s="60" t="str">
        <x:v>Формирование трёхточечных оценок</x:v>
      </x:c>
      <x:c r="C8" s="173" t="str">
        <x:v>03.10.2026</x:v>
      </x:c>
      <x:c r="D8" s="173" t="str">
        <x:v>03.10.2026</x:v>
      </x:c>
      <x:c r="E8" s="146" t="n">
        <x:v>0.8</x:v>
      </x:c>
      <x:c r="F8" s="60" t="str">
        <x:v>C</x:v>
      </x:c>
      <x:c r="G8" s="60" t="str">
        <x:v>A/R</x:v>
      </x:c>
      <x:c r="H8" s="60" t="str">
        <x:v>C</x:v>
      </x:c>
      <x:c r="I8" s="60" t="str">
        <x:v>I</x:v>
      </x:c>
      <x:c r="J8" s="62" t="str">
        <x:v>Получены (L; M; U) для критериев и альтернатив</x:v>
      </x:c>
    </x:row>
    <x:row r="9">
      <x:c r="A9" s="64" t="n">
        <x:v>6</x:v>
      </x:c>
      <x:c r="B9" s="60" t="str">
        <x:v>Расчёт нечёткого коллективного TOPSIS</x:v>
      </x:c>
      <x:c r="C9" s="173" t="str">
        <x:v>03.10.2026</x:v>
      </x:c>
      <x:c r="D9" s="173" t="str">
        <x:v>03.10.2026</x:v>
      </x:c>
      <x:c r="E9" s="146" t="n">
        <x:v>1.8</x:v>
      </x:c>
      <x:c r="F9" s="60" t="str">
        <x:v>I</x:v>
      </x:c>
      <x:c r="G9" s="60" t="str">
        <x:v>A/R</x:v>
      </x:c>
      <x:c r="H9" s="60" t="str">
        <x:v>C</x:v>
      </x:c>
      <x:c r="I9" s="60" t="str">
        <x:v>C</x:v>
      </x:c>
      <x:c r="J9" s="62" t="str">
        <x:v>Рассчитаны D+, D−, CC и рейтинг TOPSIS</x:v>
      </x:c>
    </x:row>
    <x:row r="10">
      <x:c r="A10" s="64" t="n">
        <x:v>7</x:v>
      </x:c>
      <x:c r="B10" s="60" t="str">
        <x:v>Расчёт коллективного МАИ</x:v>
      </x:c>
      <x:c r="C10" s="173" t="str">
        <x:v>04.10.2026</x:v>
      </x:c>
      <x:c r="D10" s="173" t="str">
        <x:v>04.10.2026</x:v>
      </x:c>
      <x:c r="E10" s="146" t="n">
        <x:v>2</x:v>
      </x:c>
      <x:c r="F10" s="60" t="str">
        <x:v>I</x:v>
      </x:c>
      <x:c r="G10" s="60" t="str">
        <x:v>C</x:v>
      </x:c>
      <x:c r="H10" s="60" t="str">
        <x:v>A/R</x:v>
      </x:c>
      <x:c r="I10" s="60" t="str">
        <x:v>C</x:v>
      </x:c>
      <x:c r="J10" s="62" t="str">
        <x:v>Получены веса критериев и локальные/глобальные приоритеты</x:v>
      </x:c>
    </x:row>
    <x:row r="11">
      <x:c r="A11" s="64" t="n">
        <x:v>8</x:v>
      </x:c>
      <x:c r="B11" s="60" t="str">
        <x:v>Проверка согласованности матриц МАИ</x:v>
      </x:c>
      <x:c r="C11" s="173" t="str">
        <x:v>04.10.2026</x:v>
      </x:c>
      <x:c r="D11" s="173" t="str">
        <x:v>04.10.2026</x:v>
      </x:c>
      <x:c r="E11" s="146" t="n">
        <x:v>0.8</x:v>
      </x:c>
      <x:c r="F11" s="60" t="str">
        <x:v>I</x:v>
      </x:c>
      <x:c r="G11" s="60" t="str">
        <x:v>C</x:v>
      </x:c>
      <x:c r="H11" s="60" t="str">
        <x:v>R</x:v>
      </x:c>
      <x:c r="I11" s="60" t="str">
        <x:v>A/R</x:v>
      </x:c>
      <x:c r="J11" s="62" t="str">
        <x:v>Проверены CR для матриц МАИ</x:v>
      </x:c>
    </x:row>
    <x:row r="12">
      <x:c r="A12" s="64" t="n">
        <x:v>9</x:v>
      </x:c>
      <x:c r="B12" s="60" t="str">
        <x:v>Сопоставление результатов TOPSIS и МАИ</x:v>
      </x:c>
      <x:c r="C12" s="173" t="str">
        <x:v>05.10.2026</x:v>
      </x:c>
      <x:c r="D12" s="173" t="str">
        <x:v>05.10.2026</x:v>
      </x:c>
      <x:c r="E12" s="146" t="n">
        <x:v>1.3</x:v>
      </x:c>
      <x:c r="F12" s="60" t="str">
        <x:v>A/R</x:v>
      </x:c>
      <x:c r="G12" s="60" t="str">
        <x:v>C</x:v>
      </x:c>
      <x:c r="H12" s="60" t="str">
        <x:v>C</x:v>
      </x:c>
      <x:c r="I12" s="60" t="str">
        <x:v>C</x:v>
      </x:c>
      <x:c r="J12" s="62" t="str">
        <x:v>Сформирован общий рейтинг и решение о выборе</x:v>
      </x:c>
    </x:row>
    <x:row r="13">
      <x:c r="A13" s="64" t="n">
        <x:v>10</x:v>
      </x:c>
      <x:c r="B13" s="60" t="str">
        <x:v>Актуализация RACI и журнала трудозатрат</x:v>
      </x:c>
      <x:c r="C13" s="173" t="str">
        <x:v>05.10.2026</x:v>
      </x:c>
      <x:c r="D13" s="173" t="str">
        <x:v>05.10.2026</x:v>
      </x:c>
      <x:c r="E13" s="146" t="n">
        <x:v>0.8</x:v>
      </x:c>
      <x:c r="F13" s="60" t="str">
        <x:v>C</x:v>
      </x:c>
      <x:c r="G13" s="60" t="str">
        <x:v>I</x:v>
      </x:c>
      <x:c r="H13" s="60" t="str">
        <x:v>C</x:v>
      </x:c>
      <x:c r="I13" s="60" t="str">
        <x:v>A/R</x:v>
      </x:c>
      <x:c r="J13" s="62" t="str">
        <x:v>Обновлены роли, сроки и трудозатраты</x:v>
      </x:c>
    </x:row>
    <x:row r="14">
      <x:c r="A14" s="64" t="n">
        <x:v>11</x:v>
      </x:c>
      <x:c r="B14" s="60" t="str">
        <x:v>Подготовка текста отчёта по Фазе 1</x:v>
      </x:c>
      <x:c r="C14" s="173" t="str">
        <x:v>05.10.2026</x:v>
      </x:c>
      <x:c r="D14" s="173" t="str">
        <x:v>06.10.2026</x:v>
      </x:c>
      <x:c r="E14" s="146" t="n">
        <x:v>2</x:v>
      </x:c>
      <x:c r="F14" s="60" t="str">
        <x:v>A/R</x:v>
      </x:c>
      <x:c r="G14" s="60" t="str">
        <x:v>C</x:v>
      </x:c>
      <x:c r="H14" s="60" t="str">
        <x:v>C</x:v>
      </x:c>
      <x:c r="I14" s="60" t="str">
        <x:v>C</x:v>
      </x:c>
      <x:c r="J14" s="62" t="str">
        <x:v>Собран текст Фазы 1 и расчётные приложения</x:v>
      </x:c>
    </x:row>
    <x:row r="15">
      <x:c r="A15" s="65" t="n">
        <x:v>12</x:v>
      </x:c>
      <x:c r="B15" s="66" t="str">
        <x:v>Итоговая проверка и командное согласование</x:v>
      </x:c>
      <x:c r="C15" s="174" t="str">
        <x:v>06.10.2026</x:v>
      </x:c>
      <x:c r="D15" s="174" t="str">
        <x:v>06.10.2026</x:v>
      </x:c>
      <x:c r="E15" s="148" t="n">
        <x:v>2</x:v>
      </x:c>
      <x:c r="F15" s="66" t="str">
        <x:v>A</x:v>
      </x:c>
      <x:c r="G15" s="66" t="str">
        <x:v>R</x:v>
      </x:c>
      <x:c r="H15" s="66" t="str">
        <x:v>R</x:v>
      </x:c>
      <x:c r="I15" s="66" t="str">
        <x:v>R</x:v>
      </x:c>
      <x:c r="J15" s="63" t="str">
        <x:v>Результаты проверены и согласованы командой</x:v>
      </x:c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139" t="str"/>
      <x:c r="B17" s="140" t="str">
        <x:v>Итого трудозатрат</x:v>
      </x:c>
      <x:c r="C17" s="140" t="str"/>
      <x:c r="D17" s="140" t="str"/>
      <x:c r="E17" s="141" t="n">
        <x:f>SUM(E4:E15)</x:f>
        <x:v>18.5</x:v>
      </x:c>
      <x:c r="F17" s="60"/>
      <x:c r="G17" s="60"/>
      <x:c r="H17" s="60"/>
      <x:c r="I17" s="60"/>
      <x:c r="J17" s="60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89" t="str">
        <x:v>Сопоставление результатов и итоговый выбор</x:v>
      </x:c>
      <x:c r="B1" s="89"/>
      <x:c r="C1" s="89"/>
      <x:c r="D1" s="89"/>
      <x:c r="E1" s="89"/>
      <x:c r="F1" s="89"/>
      <x:c r="G1" s="89"/>
      <x:c r="H1" s="89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38" t="str">
        <x:v>Альт.</x:v>
      </x:c>
      <x:c r="B3" s="39" t="str">
        <x:v>Концепция</x:v>
      </x:c>
      <x:c r="C3" s="39" t="str">
        <x:v>TOPSIS CC</x:v>
      </x:c>
      <x:c r="D3" s="39" t="str">
        <x:v>TOPSIS ранг</x:v>
      </x:c>
      <x:c r="E3" s="39" t="str">
        <x:v>МАИ приоритет</x:v>
      </x:c>
      <x:c r="F3" s="40" t="str">
        <x:v>МАИ ранг</x:v>
      </x:c>
      <x:c r="G3" s="60"/>
      <x:c r="H3" s="60"/>
    </x:row>
    <x:row r="4">
      <x:c r="A4" s="64" t="str">
        <x:v>A1</x:v>
      </x:c>
      <x:c r="B4" s="60" t="str">
        <x:v>Система аренды автомобилей</x:v>
      </x:c>
      <x:c r="C4" s="111" t="n">
        <x:f>TOPSIS!E31</x:f>
        <x:v>0.7400853013827043</x:v>
      </x:c>
      <x:c r="D4" s="60" t="n">
        <x:f>TOPSIS!F31</x:f>
        <x:v>1</x:v>
      </x:c>
      <x:c r="E4" s="111" t="n">
        <x:f>'МАИ_итог'!C11</x:f>
        <x:v>0.2976171932168295</x:v>
      </x:c>
      <x:c r="F4" s="62" t="n">
        <x:f>'МАИ_итог'!D11</x:f>
        <x:v>1</x:v>
      </x:c>
      <x:c r="G4" s="60"/>
      <x:c r="H4" s="60"/>
    </x:row>
    <x:row r="5">
      <x:c r="A5" s="64" t="str">
        <x:v>A2</x:v>
      </x:c>
      <x:c r="B5" s="60" t="str">
        <x:v>Информационная система автосервиса</x:v>
      </x:c>
      <x:c r="C5" s="111" t="n">
        <x:f>TOPSIS!E32</x:f>
        <x:v>0.7308182400429589</x:v>
      </x:c>
      <x:c r="D5" s="60" t="n">
        <x:f>TOPSIS!F32</x:f>
        <x:v>2</x:v>
      </x:c>
      <x:c r="E5" s="111" t="n">
        <x:f>'МАИ_итог'!C12</x:f>
        <x:v>0.2794216144036775</x:v>
      </x:c>
      <x:c r="F5" s="62" t="n">
        <x:f>'МАИ_итог'!D12</x:f>
        <x:v>2</x:v>
      </x:c>
      <x:c r="G5" s="60"/>
      <x:c r="H5" s="60"/>
    </x:row>
    <x:row r="6">
      <x:c r="A6" s="64" t="str">
        <x:v>A3</x:v>
      </x:c>
      <x:c r="B6" s="60" t="str">
        <x:v>Система учёта и анализа личных финансов</x:v>
      </x:c>
      <x:c r="C6" s="111" t="n">
        <x:f>TOPSIS!E33</x:f>
        <x:v>0.7254110438212715</x:v>
      </x:c>
      <x:c r="D6" s="60" t="n">
        <x:f>TOPSIS!F33</x:f>
        <x:v>3</x:v>
      </x:c>
      <x:c r="E6" s="111" t="n">
        <x:f>'МАИ_итог'!C13</x:f>
        <x:v>0.22404143654560715</x:v>
      </x:c>
      <x:c r="F6" s="62" t="n">
        <x:f>'МАИ_итог'!D13</x:f>
        <x:v>3</x:v>
      </x:c>
      <x:c r="G6" s="60"/>
      <x:c r="H6" s="60"/>
    </x:row>
    <x:row r="7">
      <x:c r="A7" s="65" t="str">
        <x:v>A4</x:v>
      </x:c>
      <x:c r="B7" s="66" t="str">
        <x:v>Система управления фитнес-клубом</x:v>
      </x:c>
      <x:c r="C7" s="113" t="n">
        <x:f>TOPSIS!E34</x:f>
        <x:v>0.7075597320514615</x:v>
      </x:c>
      <x:c r="D7" s="66" t="n">
        <x:f>TOPSIS!F34</x:f>
        <x:v>4</x:v>
      </x:c>
      <x:c r="E7" s="113" t="n">
        <x:f>'МАИ_итог'!C14</x:f>
        <x:v>0.198919755833886</x:v>
      </x:c>
      <x:c r="F7" s="63" t="n">
        <x:f>'МАИ_итог'!D14</x:f>
        <x:v>4</x:v>
      </x:c>
      <x:c r="G7" s="60"/>
      <x:c r="H7" s="60"/>
    </x:row>
    <x:row r="8">
      <x:c r="A8" s="60"/>
      <x:c r="B8" s="60"/>
      <x:c r="C8" s="60"/>
      <x:c r="D8" s="60"/>
      <x:c r="E8" s="60"/>
      <x:c r="F8" s="60"/>
      <x:c r="G8" s="60"/>
      <x:c r="H8" s="60"/>
    </x:row>
    <x:row r="9">
      <x:c r="A9" s="60"/>
      <x:c r="B9" s="60"/>
      <x:c r="C9" s="60"/>
      <x:c r="D9" s="60"/>
      <x:c r="E9" s="60"/>
      <x:c r="F9" s="60"/>
      <x:c r="G9" s="60"/>
      <x:c r="H9" s="60"/>
    </x:row>
    <x:row r="10">
      <x:c r="A10" s="38" t="str">
        <x:v>Параметр</x:v>
      </x:c>
      <x:c r="B10" s="40" t="str">
        <x:v>Результат</x:v>
      </x:c>
      <x:c r="C10" s="60"/>
      <x:c r="D10" s="60"/>
      <x:c r="E10" s="60"/>
      <x:c r="F10" s="60"/>
      <x:c r="G10" s="60"/>
      <x:c r="H10" s="60"/>
    </x:row>
    <x:row r="11">
      <x:c r="A11" s="161" t="str">
        <x:v>Победитель TOPSIS</x:v>
      </x:c>
      <x:c r="B11" s="62" t="str">
        <x:f>INDEX(B4:B7,MATCH(MAX(C4:C7),C4:C7,0))</x:f>
        <x:v>Система аренды автомобилей</x:v>
      </x:c>
      <x:c r="C11" s="60"/>
      <x:c r="D11" s="60"/>
      <x:c r="E11" s="60"/>
      <x:c r="F11" s="60"/>
      <x:c r="G11" s="60"/>
      <x:c r="H11" s="60"/>
    </x:row>
    <x:row r="12">
      <x:c r="A12" s="161" t="str">
        <x:v>Победитель МАИ</x:v>
      </x:c>
      <x:c r="B12" s="62" t="str">
        <x:f>INDEX(B4:B7,MATCH(MAX(E4:E7),E4:E7,0))</x:f>
        <x:v>Система аренды автомобилей</x:v>
      </x:c>
      <x:c r="C12" s="60"/>
      <x:c r="D12" s="60"/>
      <x:c r="E12" s="60"/>
      <x:c r="F12" s="60"/>
      <x:c r="G12" s="60"/>
      <x:c r="H12" s="60"/>
    </x:row>
    <x:row r="13">
      <x:c r="A13" s="161" t="str">
        <x:v>Итоговая концепция</x:v>
      </x:c>
      <x:c r="B13" s="162" t="str">
        <x:f>IF(B11=B12,B11,"Требуется обсуждение")</x:f>
        <x:v>Система аренды автомобилей</x:v>
      </x:c>
      <x:c r="C13" s="60"/>
      <x:c r="D13" s="60"/>
      <x:c r="E13" s="60"/>
      <x:c r="F13" s="60"/>
      <x:c r="G13" s="60"/>
      <x:c r="H13" s="60"/>
    </x:row>
    <x:row r="14">
      <x:c r="A14" s="161" t="str">
        <x:v>Согласованность методов</x:v>
      </x:c>
      <x:c r="B14" s="162" t="str">
        <x:f>IF(B11=B12,"Да — оба метода дали одинакового лидера","Нет")</x:f>
        <x:v>Да — оба метода дали одинакового лидера</x:v>
      </x:c>
      <x:c r="C14" s="60"/>
      <x:c r="D14" s="60"/>
      <x:c r="E14" s="60"/>
      <x:c r="F14" s="60"/>
      <x:c r="G14" s="60"/>
      <x:c r="H14" s="60"/>
    </x:row>
    <x:row r="15">
      <x:c r="A15" s="163" t="str">
        <x:v>Решение</x:v>
      </x:c>
      <x:c r="B15" s="164" t="str">
        <x:v>Принять A1 — «Система аренды автомобилей» для дальнейших фаз</x:v>
      </x:c>
      <x:c r="C15" s="60"/>
      <x:c r="D15" s="60"/>
      <x:c r="E15" s="60"/>
      <x:c r="F15" s="60"/>
      <x:c r="G15" s="60"/>
      <x:c r="H15" s="60"/>
    </x:row>
    <x:row r="16">
      <x:c r="A16" s="60"/>
      <x:c r="B16" s="60"/>
      <x:c r="C16" s="60"/>
      <x:c r="D16" s="60"/>
      <x:c r="E16" s="60"/>
      <x:c r="F16" s="60"/>
      <x:c r="G16" s="60"/>
      <x:c r="H16" s="60"/>
    </x:row>
    <x:row r="17">
      <x:c r="A17" s="60"/>
      <x:c r="B17" s="60"/>
      <x:c r="C17" s="60"/>
      <x:c r="D17" s="60"/>
      <x:c r="E17" s="60"/>
      <x:c r="F17" s="60"/>
      <x:c r="G17" s="60"/>
      <x:c r="H17" s="60"/>
    </x:row>
    <x:row r="18">
      <x:c r="A18" s="60"/>
      <x:c r="B18" s="60"/>
      <x:c r="C18" s="60"/>
      <x:c r="D18" s="60"/>
      <x:c r="E18" s="60"/>
      <x:c r="F18" s="60"/>
      <x:c r="G18" s="60"/>
      <x:c r="H18" s="60" t="str">
        <x:v>Альтернатива</x:v>
      </x:c>
      <x:c r="I18" t="str">
        <x:v>TOPSIS, %</x:v>
      </x:c>
    </x:row>
    <x:row r="19">
      <x:c r="H19" t="str">
        <x:v>A1</x:v>
      </x:c>
      <x:c r="I19" s="85" t="n">
        <x:f>C4*100</x:f>
        <x:v>74.00853013827043</x:v>
      </x:c>
    </x:row>
    <x:row r="20">
      <x:c r="H20" t="str">
        <x:v>A2</x:v>
      </x:c>
      <x:c r="I20" s="85" t="n">
        <x:f>C5*100</x:f>
        <x:v>73.0818240042959</x:v>
      </x:c>
    </x:row>
    <x:row r="21">
      <x:c r="H21" t="str">
        <x:v>A3</x:v>
      </x:c>
      <x:c r="I21" s="85" t="n">
        <x:f>C6*100</x:f>
        <x:v>72.54110438212716</x:v>
      </x:c>
    </x:row>
    <x:row r="22">
      <x:c r="H22" t="str">
        <x:v>A4</x:v>
      </x:c>
      <x:c r="I22" s="85" t="n">
        <x:f>C7*100</x:f>
        <x:v>70.75597320514615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0eb95f6ef1c46cc"/>
</x:worksheet>
</file>